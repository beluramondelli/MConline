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4.xml" ContentType="application/vnd.openxmlformats-officedocument.spreadsheetml.comments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80" yWindow="255" windowWidth="15180" windowHeight="8355" tabRatio="730" activeTab="2"/>
  </bookViews>
  <sheets>
    <sheet name="Product Backlog" sheetId="8" r:id="rId1"/>
    <sheet name="Release Plan1" sheetId="7" r:id="rId2"/>
    <sheet name="Release Plan 2" sheetId="27" r:id="rId3"/>
    <sheet name="Sp1" sheetId="19" r:id="rId4"/>
    <sheet name="Sp2" sheetId="23" r:id="rId5"/>
    <sheet name="Sp3" sheetId="26" r:id="rId6"/>
    <sheet name="Velocidad" sheetId="28" r:id="rId7"/>
    <sheet name="PB Burndown" sheetId="20" r:id="rId8"/>
    <sheet name="Sprint Sheet Template" sheetId="16" r:id="rId9"/>
    <sheet name="Task Slips" sheetId="21" state="hidden" r:id="rId10"/>
    <sheet name="RETROSPECTIVE" sheetId="22" r:id="rId11"/>
  </sheets>
  <definedNames>
    <definedName name="_xlnm.Print_Area" localSheetId="0">'Product Backlog'!$A:$G</definedName>
    <definedName name="_xlnm.Print_Area" localSheetId="9">'Task Slips'!#REF!</definedName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2">#REF!</definedName>
    <definedName name="DoneDays" localSheetId="3">'Sp1'!$D$11</definedName>
    <definedName name="DoneDays" localSheetId="4">'Sp2'!$D$11</definedName>
    <definedName name="DoneDays" localSheetId="5">'Sp3'!$D$11</definedName>
    <definedName name="DoneDays" localSheetId="8">'Sprint Sheet Template'!$D$11</definedName>
    <definedName name="DoneDays">#REF!</definedName>
    <definedName name="ImplementationDays" localSheetId="2">#REF!</definedName>
    <definedName name="ImplementationDays" localSheetId="3">'Sp1'!$B$9</definedName>
    <definedName name="ImplementationDays" localSheetId="4">'Sp2'!$B$9</definedName>
    <definedName name="ImplementationDays" localSheetId="5">'Sp3'!$B$9</definedName>
    <definedName name="ImplementationDays" localSheetId="8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Backlog'!$A$4:$G$165</definedName>
    <definedName name="RealizedSpeed">OFFSET('PB Burndown'!$D$27,1,0,'PB Burndown'!$G$3,1)</definedName>
    <definedName name="RealValues" localSheetId="3">OFFSET('Sp1'!$F$10,0,0,1,'Sp1'!DoneDays)</definedName>
    <definedName name="RealValues" localSheetId="4">OFFSET('Sp2'!$F$10,0,0,1,'Sp2'!DoneDays)</definedName>
    <definedName name="RealValues" localSheetId="5">OFFSET('Sp3'!$F$10,0,0,1,'Sp3'!DoneDays)</definedName>
    <definedName name="RealValues" localSheetId="8">OFFSET('Sprint Sheet Template'!$F$10,0,0,1,'Sprint Sheet Template'!DoneDays)</definedName>
    <definedName name="Sprint">'Product Backlog'!$E$5:$E$165</definedName>
    <definedName name="SprintCount">'PB Burndown'!$G$3</definedName>
    <definedName name="SprintsInTrend">'PB Burndown'!$G$6</definedName>
    <definedName name="SprintTasks" localSheetId="3">'Sp1'!$A$14:$AD$63</definedName>
    <definedName name="SprintTasks" localSheetId="4">'Sp2'!$A$14:$AD$62</definedName>
    <definedName name="SprintTasks" localSheetId="5">'Sp3'!$A$14:$AD$62</definedName>
    <definedName name="SprintTasks">'Sprint Sheet Template'!$A$14:$AD$63</definedName>
    <definedName name="Status">'Product Backlog'!$C$5:$C$165</definedName>
    <definedName name="StoryName">'Product Backlog'!$B$5:$B$165</definedName>
    <definedName name="TaskRows" localSheetId="2">#REF!</definedName>
    <definedName name="TaskRows" localSheetId="3">'Sp1'!$B$11</definedName>
    <definedName name="TaskRows" localSheetId="4">'Sp2'!$B$11</definedName>
    <definedName name="TaskRows" localSheetId="5">'Sp3'!$B$11</definedName>
    <definedName name="TaskRows" localSheetId="8">'Sprint Sheet Template'!$B$11</definedName>
    <definedName name="TaskRows">#REF!</definedName>
    <definedName name="TaskStatus" localSheetId="3">'Sp1'!$D$14:$D$58</definedName>
    <definedName name="TaskStatus" localSheetId="4">'Sp2'!$D$14:$D$57</definedName>
    <definedName name="TaskStatus" localSheetId="5">'Sp3'!$D$14:$D$57</definedName>
    <definedName name="TaskStatus">'Sprint Sheet Template'!$D$14:$D$58</definedName>
    <definedName name="TaskStoryID" localSheetId="3">'Sp1'!$B$14:$B$53</definedName>
    <definedName name="TaskStoryID" localSheetId="4">'Sp2'!$B$14:$B$52</definedName>
    <definedName name="TaskStoryID" localSheetId="5">'Sp3'!$B$14:$B$52</definedName>
    <definedName name="TaskStoryID">'Sprint Sheet Template'!$B$14:$B$53</definedName>
    <definedName name="TotalEffort" localSheetId="2">#REF!</definedName>
    <definedName name="TotalEffort" localSheetId="3">'Sp1'!$E$10</definedName>
    <definedName name="TotalEffort" localSheetId="4">'Sp2'!$E$10</definedName>
    <definedName name="TotalEffort" localSheetId="5">'Sp3'!$E$10</definedName>
    <definedName name="TotalEffort" localSheetId="8">'Sprint Sheet Template'!$E$10</definedName>
    <definedName name="TotalEffort">#REF!</definedName>
    <definedName name="TrendDays" localSheetId="3">'Sp1'!$D$13</definedName>
    <definedName name="TrendDays" localSheetId="4">'Sp2'!$D$13</definedName>
    <definedName name="TrendDays" localSheetId="5">'Sp3'!$D$13</definedName>
    <definedName name="TrendDays">'Sprint Sheet Template'!$D$13</definedName>
    <definedName name="TrendOffset">'PB Burndown'!$G$5</definedName>
    <definedName name="TrendSprintCount">'PB Burndown'!$G$4</definedName>
  </definedNames>
  <calcPr calcId="145621"/>
</workbook>
</file>

<file path=xl/calcChain.xml><?xml version="1.0" encoding="utf-8"?>
<calcChain xmlns="http://schemas.openxmlformats.org/spreadsheetml/2006/main">
  <c r="E31" i="7" l="1"/>
  <c r="F31" i="27"/>
  <c r="B29" i="20" l="1"/>
  <c r="E10" i="23"/>
  <c r="E31" i="27"/>
  <c r="F20" i="27"/>
  <c r="F21" i="27" s="1"/>
  <c r="F22" i="27" s="1"/>
  <c r="F23" i="27" s="1"/>
  <c r="F24" i="27" s="1"/>
  <c r="F26" i="27" s="1"/>
  <c r="F27" i="27" s="1"/>
  <c r="F30" i="27" s="1"/>
  <c r="D20" i="27"/>
  <c r="D19" i="27"/>
  <c r="D18" i="27"/>
  <c r="D17" i="27"/>
  <c r="D16" i="27"/>
  <c r="E10" i="27"/>
  <c r="C10" i="27"/>
  <c r="D10" i="27" s="1"/>
  <c r="E9" i="27"/>
  <c r="C9" i="27"/>
  <c r="D9" i="27" s="1"/>
  <c r="E8" i="27"/>
  <c r="C8" i="27"/>
  <c r="D8" i="27" s="1"/>
  <c r="E7" i="27"/>
  <c r="C7" i="27"/>
  <c r="D7" i="27" s="1"/>
  <c r="E6" i="27"/>
  <c r="C6" i="27"/>
  <c r="D6" i="27" s="1"/>
  <c r="E5" i="27"/>
  <c r="C5" i="27"/>
  <c r="B5" i="27"/>
  <c r="E4" i="27"/>
  <c r="C4" i="27"/>
  <c r="B4" i="27"/>
  <c r="D19" i="7"/>
  <c r="D18" i="7"/>
  <c r="D17" i="7"/>
  <c r="D16" i="7"/>
  <c r="D5" i="27" l="1"/>
  <c r="D4" i="27"/>
  <c r="D63" i="26"/>
  <c r="F62" i="26"/>
  <c r="D62" i="26"/>
  <c r="F61" i="26"/>
  <c r="D61" i="26"/>
  <c r="F60" i="26"/>
  <c r="D60" i="26"/>
  <c r="F59" i="26"/>
  <c r="D59" i="26"/>
  <c r="F58" i="26"/>
  <c r="D58" i="26"/>
  <c r="F57" i="26"/>
  <c r="D57" i="26"/>
  <c r="F56" i="26"/>
  <c r="D56" i="26"/>
  <c r="F55" i="26"/>
  <c r="D55" i="26"/>
  <c r="F54" i="26"/>
  <c r="D54" i="26"/>
  <c r="F53" i="26"/>
  <c r="D53" i="26"/>
  <c r="F52" i="26"/>
  <c r="D52" i="26"/>
  <c r="F51" i="26"/>
  <c r="D51" i="26"/>
  <c r="F50" i="26"/>
  <c r="D50" i="26"/>
  <c r="F49" i="26"/>
  <c r="D49" i="26"/>
  <c r="F48" i="26"/>
  <c r="D48" i="26"/>
  <c r="F47" i="26"/>
  <c r="D47" i="26"/>
  <c r="F46" i="26"/>
  <c r="D46" i="26"/>
  <c r="F45" i="26"/>
  <c r="D45" i="26"/>
  <c r="F44" i="26"/>
  <c r="D44" i="26"/>
  <c r="F43" i="26"/>
  <c r="D43" i="26"/>
  <c r="F42" i="26"/>
  <c r="D42" i="26"/>
  <c r="F41" i="26"/>
  <c r="D41" i="26"/>
  <c r="F40" i="26"/>
  <c r="D40" i="26"/>
  <c r="G14" i="26"/>
  <c r="G61" i="26" s="1"/>
  <c r="B11" i="26"/>
  <c r="AC10" i="26" s="1"/>
  <c r="D21" i="27" l="1"/>
  <c r="H14" i="26"/>
  <c r="H62" i="26" s="1"/>
  <c r="I10" i="26"/>
  <c r="O10" i="26"/>
  <c r="V10" i="26"/>
  <c r="AD10" i="26"/>
  <c r="J10" i="26"/>
  <c r="Q10" i="26"/>
  <c r="Y10" i="26"/>
  <c r="E10" i="26"/>
  <c r="F11" i="26" s="1"/>
  <c r="K10" i="26"/>
  <c r="S10" i="26"/>
  <c r="Z10" i="26"/>
  <c r="F10" i="26"/>
  <c r="N10" i="26"/>
  <c r="U10" i="26"/>
  <c r="AA10" i="26"/>
  <c r="G10" i="26"/>
  <c r="M10" i="26"/>
  <c r="R10" i="26"/>
  <c r="W10" i="26"/>
  <c r="AB10" i="26"/>
  <c r="X10" i="26"/>
  <c r="T10" i="26"/>
  <c r="P10" i="26"/>
  <c r="L10" i="26"/>
  <c r="H10" i="26"/>
  <c r="G62" i="26"/>
  <c r="E24" i="19"/>
  <c r="D22" i="27" l="1"/>
  <c r="H11" i="26"/>
  <c r="H61" i="26"/>
  <c r="I14" i="26"/>
  <c r="G11" i="26"/>
  <c r="D11" i="26"/>
  <c r="F13" i="26" s="1"/>
  <c r="I62" i="26"/>
  <c r="J14" i="26"/>
  <c r="I11" i="26"/>
  <c r="I61" i="26"/>
  <c r="A77" i="21"/>
  <c r="A69" i="21"/>
  <c r="A61" i="21"/>
  <c r="A53" i="21"/>
  <c r="A45" i="21"/>
  <c r="A37" i="21"/>
  <c r="A29" i="21"/>
  <c r="A21" i="21"/>
  <c r="A13" i="21"/>
  <c r="A5" i="21"/>
  <c r="D23" i="27" l="1"/>
  <c r="D13" i="26"/>
  <c r="S12" i="26" s="1"/>
  <c r="J61" i="26"/>
  <c r="J11" i="26"/>
  <c r="J62" i="26"/>
  <c r="K14" i="26"/>
  <c r="D63" i="23"/>
  <c r="F46" i="23"/>
  <c r="D46" i="23"/>
  <c r="F45" i="23"/>
  <c r="D45" i="23"/>
  <c r="F44" i="23"/>
  <c r="D44" i="23"/>
  <c r="F43" i="23"/>
  <c r="D43" i="23"/>
  <c r="F42" i="23"/>
  <c r="D42" i="23"/>
  <c r="F41" i="23"/>
  <c r="D41" i="23"/>
  <c r="F40" i="23"/>
  <c r="D40" i="23"/>
  <c r="F39" i="23"/>
  <c r="D39" i="23"/>
  <c r="F38" i="23"/>
  <c r="D38" i="23"/>
  <c r="F37" i="23"/>
  <c r="D37" i="23"/>
  <c r="F36" i="23"/>
  <c r="D36" i="23"/>
  <c r="F35" i="23"/>
  <c r="D35" i="23"/>
  <c r="F34" i="23"/>
  <c r="D34" i="23"/>
  <c r="F33" i="23"/>
  <c r="D33" i="23"/>
  <c r="F32" i="23"/>
  <c r="D32" i="23"/>
  <c r="F31" i="23"/>
  <c r="D31" i="23"/>
  <c r="F30" i="23"/>
  <c r="D30" i="23"/>
  <c r="F29" i="23"/>
  <c r="D29" i="23"/>
  <c r="F28" i="23"/>
  <c r="D28" i="23"/>
  <c r="F27" i="23"/>
  <c r="D27" i="23"/>
  <c r="D26" i="23"/>
  <c r="F47" i="23"/>
  <c r="G14" i="23"/>
  <c r="B11" i="23"/>
  <c r="D24" i="27" l="1"/>
  <c r="A24" i="27"/>
  <c r="G47" i="23"/>
  <c r="H12" i="26"/>
  <c r="Z12" i="26"/>
  <c r="K12" i="26"/>
  <c r="F12" i="26"/>
  <c r="Y12" i="26"/>
  <c r="M12" i="26"/>
  <c r="P12" i="26"/>
  <c r="J12" i="26"/>
  <c r="V12" i="26"/>
  <c r="L12" i="26"/>
  <c r="W12" i="26"/>
  <c r="AD12" i="26"/>
  <c r="T12" i="26"/>
  <c r="AC12" i="26"/>
  <c r="Q12" i="26"/>
  <c r="N12" i="26"/>
  <c r="R12" i="26"/>
  <c r="X12" i="26"/>
  <c r="I12" i="26"/>
  <c r="AA12" i="26"/>
  <c r="G12" i="26"/>
  <c r="O12" i="26"/>
  <c r="U12" i="26"/>
  <c r="AB12" i="26"/>
  <c r="K61" i="26"/>
  <c r="L14" i="26"/>
  <c r="K62" i="26"/>
  <c r="K11" i="26"/>
  <c r="M10" i="23"/>
  <c r="F11" i="23"/>
  <c r="U10" i="23"/>
  <c r="K10" i="23"/>
  <c r="S10" i="23"/>
  <c r="AA10" i="23"/>
  <c r="AB10" i="23"/>
  <c r="X10" i="23"/>
  <c r="T10" i="23"/>
  <c r="P10" i="23"/>
  <c r="L10" i="23"/>
  <c r="H10" i="23"/>
  <c r="Z10" i="23"/>
  <c r="V10" i="23"/>
  <c r="R10" i="23"/>
  <c r="N10" i="23"/>
  <c r="J10" i="23"/>
  <c r="F10" i="23"/>
  <c r="G45" i="23"/>
  <c r="H14" i="23"/>
  <c r="G46" i="23"/>
  <c r="G10" i="23"/>
  <c r="O10" i="23"/>
  <c r="W10" i="23"/>
  <c r="I10" i="23"/>
  <c r="Q10" i="23"/>
  <c r="Y10" i="23"/>
  <c r="G4" i="20"/>
  <c r="G5" i="20" s="1"/>
  <c r="G6" i="20" s="1"/>
  <c r="E4" i="7"/>
  <c r="E5" i="7"/>
  <c r="E20" i="7"/>
  <c r="E21" i="7"/>
  <c r="G14" i="19"/>
  <c r="H14" i="19" s="1"/>
  <c r="F20" i="7"/>
  <c r="F21" i="7" s="1"/>
  <c r="F22" i="7" s="1"/>
  <c r="F23" i="7" s="1"/>
  <c r="F24" i="7" s="1"/>
  <c r="F25" i="7" s="1"/>
  <c r="F26" i="7" s="1"/>
  <c r="F27" i="7" s="1"/>
  <c r="F28" i="7" s="1"/>
  <c r="F29" i="7" s="1"/>
  <c r="F30" i="7" s="1"/>
  <c r="B4" i="7"/>
  <c r="G17" i="20"/>
  <c r="A18" i="20"/>
  <c r="A8" i="20"/>
  <c r="H28" i="20"/>
  <c r="B11" i="19"/>
  <c r="Q10" i="19" s="1"/>
  <c r="D41" i="19"/>
  <c r="F41" i="19"/>
  <c r="D42" i="19"/>
  <c r="F42" i="19"/>
  <c r="D43" i="19"/>
  <c r="F43" i="19"/>
  <c r="D44" i="19"/>
  <c r="F44" i="19"/>
  <c r="D45" i="19"/>
  <c r="F45" i="19"/>
  <c r="D46" i="19"/>
  <c r="F46" i="19"/>
  <c r="D47" i="19"/>
  <c r="F47" i="19"/>
  <c r="D48" i="19"/>
  <c r="F48" i="19"/>
  <c r="D49" i="19"/>
  <c r="F49" i="19"/>
  <c r="D50" i="19"/>
  <c r="F50" i="19"/>
  <c r="D51" i="19"/>
  <c r="F51" i="19"/>
  <c r="D52" i="19"/>
  <c r="F52" i="19"/>
  <c r="D53" i="19"/>
  <c r="F53" i="19"/>
  <c r="D54" i="19"/>
  <c r="F54" i="19"/>
  <c r="D55" i="19"/>
  <c r="F55" i="19"/>
  <c r="D56" i="19"/>
  <c r="F56" i="19"/>
  <c r="D57" i="19"/>
  <c r="F57" i="19"/>
  <c r="D58" i="19"/>
  <c r="F58" i="19"/>
  <c r="D59" i="19"/>
  <c r="F59" i="19"/>
  <c r="D60" i="19"/>
  <c r="F60" i="19"/>
  <c r="D61" i="19"/>
  <c r="F61" i="19"/>
  <c r="D62" i="19"/>
  <c r="F62" i="19"/>
  <c r="D63" i="19"/>
  <c r="F63" i="19"/>
  <c r="D64" i="19"/>
  <c r="B11" i="16"/>
  <c r="F10" i="16" s="1"/>
  <c r="F15" i="16"/>
  <c r="F16" i="16"/>
  <c r="F17" i="16"/>
  <c r="F18" i="16"/>
  <c r="E10" i="7"/>
  <c r="E9" i="7"/>
  <c r="E8" i="7"/>
  <c r="E7" i="7"/>
  <c r="E6" i="7"/>
  <c r="C4" i="7"/>
  <c r="B5" i="7"/>
  <c r="C5" i="7"/>
  <c r="C6" i="7"/>
  <c r="D6" i="7" s="1"/>
  <c r="C7" i="7"/>
  <c r="D7" i="7" s="1"/>
  <c r="C8" i="7"/>
  <c r="D8" i="7" s="1"/>
  <c r="C9" i="7"/>
  <c r="D9" i="7" s="1"/>
  <c r="C10" i="7"/>
  <c r="D10" i="7" s="1"/>
  <c r="G14" i="16"/>
  <c r="W10" i="16"/>
  <c r="D15" i="16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D59" i="16"/>
  <c r="F59" i="16"/>
  <c r="D64" i="16"/>
  <c r="I10" i="16"/>
  <c r="F28" i="20"/>
  <c r="K28" i="20" s="1"/>
  <c r="B30" i="20"/>
  <c r="E30" i="20" s="1"/>
  <c r="B20" i="7"/>
  <c r="F29" i="20"/>
  <c r="G29" i="20" s="1"/>
  <c r="S10" i="19"/>
  <c r="P47" i="20"/>
  <c r="G62" i="19"/>
  <c r="G63" i="19"/>
  <c r="J10" i="19"/>
  <c r="I10" i="19"/>
  <c r="P10" i="19"/>
  <c r="O10" i="19"/>
  <c r="H10" i="19"/>
  <c r="G28" i="20"/>
  <c r="P42" i="20"/>
  <c r="E29" i="20"/>
  <c r="I29" i="20"/>
  <c r="F30" i="20" s="1"/>
  <c r="G30" i="20" s="1"/>
  <c r="E28" i="20"/>
  <c r="P33" i="20"/>
  <c r="P36" i="20"/>
  <c r="P35" i="20"/>
  <c r="P39" i="20"/>
  <c r="P37" i="20"/>
  <c r="P51" i="20"/>
  <c r="P29" i="20"/>
  <c r="O32" i="20"/>
  <c r="D25" i="27" l="1"/>
  <c r="A25" i="27"/>
  <c r="W10" i="19"/>
  <c r="Z10" i="19"/>
  <c r="AC10" i="19"/>
  <c r="AA10" i="19"/>
  <c r="M10" i="16"/>
  <c r="H10" i="16"/>
  <c r="M10" i="19"/>
  <c r="X10" i="19"/>
  <c r="R10" i="19"/>
  <c r="T10" i="19"/>
  <c r="U10" i="19"/>
  <c r="L10" i="16"/>
  <c r="N10" i="19"/>
  <c r="V10" i="19"/>
  <c r="S10" i="16"/>
  <c r="H47" i="23"/>
  <c r="L62" i="26"/>
  <c r="L61" i="26"/>
  <c r="L11" i="26"/>
  <c r="M14" i="26"/>
  <c r="Q35" i="20"/>
  <c r="G11" i="23"/>
  <c r="P38" i="20"/>
  <c r="P49" i="20"/>
  <c r="P45" i="20"/>
  <c r="P31" i="20"/>
  <c r="P50" i="20"/>
  <c r="P48" i="20"/>
  <c r="P30" i="20"/>
  <c r="I30" i="20"/>
  <c r="B31" i="20"/>
  <c r="D4" i="7"/>
  <c r="H45" i="23"/>
  <c r="H46" i="23"/>
  <c r="H11" i="23"/>
  <c r="I14" i="23"/>
  <c r="H63" i="19"/>
  <c r="AD10" i="19"/>
  <c r="G10" i="19"/>
  <c r="E10" i="19"/>
  <c r="L10" i="19"/>
  <c r="Y10" i="19"/>
  <c r="K10" i="19"/>
  <c r="F10" i="19"/>
  <c r="AB10" i="19"/>
  <c r="K29" i="20"/>
  <c r="H29" i="20"/>
  <c r="H14" i="16"/>
  <c r="G58" i="16"/>
  <c r="G59" i="16"/>
  <c r="D17" i="20"/>
  <c r="D16" i="20"/>
  <c r="B21" i="7"/>
  <c r="D20" i="7"/>
  <c r="D5" i="7"/>
  <c r="AA10" i="16"/>
  <c r="V10" i="16"/>
  <c r="P10" i="16"/>
  <c r="K10" i="16"/>
  <c r="E10" i="16"/>
  <c r="G11" i="16" s="1"/>
  <c r="U10" i="16"/>
  <c r="Z10" i="16"/>
  <c r="T10" i="16"/>
  <c r="O10" i="16"/>
  <c r="J10" i="16"/>
  <c r="AD10" i="16"/>
  <c r="Q10" i="16"/>
  <c r="P28" i="20"/>
  <c r="P41" i="20"/>
  <c r="P44" i="20"/>
  <c r="P43" i="20"/>
  <c r="P40" i="20"/>
  <c r="P32" i="20"/>
  <c r="P34" i="20"/>
  <c r="P46" i="20"/>
  <c r="Y10" i="16"/>
  <c r="N10" i="16"/>
  <c r="X10" i="16"/>
  <c r="I14" i="19"/>
  <c r="H62" i="19"/>
  <c r="AC10" i="16"/>
  <c r="G10" i="16"/>
  <c r="R10" i="16"/>
  <c r="AB10" i="16"/>
  <c r="D15" i="20"/>
  <c r="O31" i="20"/>
  <c r="O42" i="20"/>
  <c r="O43" i="20"/>
  <c r="O37" i="20"/>
  <c r="O35" i="20"/>
  <c r="O50" i="20"/>
  <c r="O49" i="20"/>
  <c r="O46" i="20"/>
  <c r="O40" i="20"/>
  <c r="O29" i="20"/>
  <c r="O33" i="20"/>
  <c r="O41" i="20"/>
  <c r="O47" i="20"/>
  <c r="O51" i="20"/>
  <c r="O36" i="20"/>
  <c r="O48" i="20"/>
  <c r="O39" i="20"/>
  <c r="O28" i="20"/>
  <c r="O38" i="20"/>
  <c r="O30" i="20"/>
  <c r="O44" i="20"/>
  <c r="O34" i="20"/>
  <c r="O45" i="20"/>
  <c r="D26" i="27" l="1"/>
  <c r="I47" i="23"/>
  <c r="M62" i="26"/>
  <c r="N14" i="26"/>
  <c r="M11" i="26"/>
  <c r="M61" i="26"/>
  <c r="Q51" i="20"/>
  <c r="Q37" i="20"/>
  <c r="Q39" i="20"/>
  <c r="Q44" i="20"/>
  <c r="Q48" i="20"/>
  <c r="Q43" i="20"/>
  <c r="Q28" i="20"/>
  <c r="Q38" i="20"/>
  <c r="Q31" i="20"/>
  <c r="Q34" i="20"/>
  <c r="Q40" i="20"/>
  <c r="Q29" i="20"/>
  <c r="Q41" i="20"/>
  <c r="Q36" i="20"/>
  <c r="Q49" i="20"/>
  <c r="Q47" i="20"/>
  <c r="Q45" i="20"/>
  <c r="Q46" i="20"/>
  <c r="Q32" i="20"/>
  <c r="Q50" i="20"/>
  <c r="Q42" i="20"/>
  <c r="Q33" i="20"/>
  <c r="Q30" i="20"/>
  <c r="H30" i="20"/>
  <c r="K30" i="20"/>
  <c r="E31" i="20"/>
  <c r="B32" i="20"/>
  <c r="I31" i="20"/>
  <c r="H31" i="20" s="1"/>
  <c r="F31" i="20"/>
  <c r="G31" i="20" s="1"/>
  <c r="D11" i="19"/>
  <c r="D13" i="19" s="1"/>
  <c r="AC12" i="19" s="1"/>
  <c r="J14" i="23"/>
  <c r="I11" i="23"/>
  <c r="I46" i="23"/>
  <c r="I45" i="23"/>
  <c r="F11" i="19"/>
  <c r="G11" i="19"/>
  <c r="H11" i="19"/>
  <c r="F11" i="16"/>
  <c r="D11" i="16"/>
  <c r="F13" i="16" s="1"/>
  <c r="H59" i="16"/>
  <c r="H58" i="16"/>
  <c r="H11" i="16"/>
  <c r="I14" i="16"/>
  <c r="I63" i="19"/>
  <c r="J14" i="19"/>
  <c r="I11" i="19"/>
  <c r="I62" i="19"/>
  <c r="B22" i="7"/>
  <c r="D21" i="7"/>
  <c r="D27" i="27" l="1"/>
  <c r="N48" i="20"/>
  <c r="L48" i="20" s="1"/>
  <c r="N39" i="20"/>
  <c r="L39" i="20" s="1"/>
  <c r="N44" i="20"/>
  <c r="L44" i="20" s="1"/>
  <c r="N51" i="20"/>
  <c r="L51" i="20" s="1"/>
  <c r="N46" i="20"/>
  <c r="L46" i="20" s="1"/>
  <c r="N32" i="20"/>
  <c r="L32" i="20" s="1"/>
  <c r="N49" i="20"/>
  <c r="L49" i="20" s="1"/>
  <c r="N33" i="20"/>
  <c r="L33" i="20" s="1"/>
  <c r="N35" i="20"/>
  <c r="L35" i="20" s="1"/>
  <c r="N29" i="20"/>
  <c r="L29" i="20" s="1"/>
  <c r="N28" i="20"/>
  <c r="L28" i="20" s="1"/>
  <c r="M28" i="20" s="1"/>
  <c r="G9" i="20" s="1"/>
  <c r="N45" i="20"/>
  <c r="L45" i="20" s="1"/>
  <c r="N42" i="20"/>
  <c r="L42" i="20" s="1"/>
  <c r="J47" i="23"/>
  <c r="N61" i="26"/>
  <c r="N62" i="26"/>
  <c r="O14" i="26"/>
  <c r="N11" i="26"/>
  <c r="N38" i="20"/>
  <c r="L38" i="20" s="1"/>
  <c r="N50" i="20"/>
  <c r="L50" i="20" s="1"/>
  <c r="N41" i="20"/>
  <c r="L41" i="20" s="1"/>
  <c r="N31" i="20"/>
  <c r="L31" i="20" s="1"/>
  <c r="N36" i="20"/>
  <c r="L36" i="20" s="1"/>
  <c r="N34" i="20"/>
  <c r="L34" i="20" s="1"/>
  <c r="N37" i="20"/>
  <c r="L37" i="20" s="1"/>
  <c r="N47" i="20"/>
  <c r="L47" i="20" s="1"/>
  <c r="N43" i="20"/>
  <c r="L43" i="20" s="1"/>
  <c r="N30" i="20"/>
  <c r="L30" i="20" s="1"/>
  <c r="N40" i="20"/>
  <c r="L40" i="20" s="1"/>
  <c r="K31" i="20"/>
  <c r="F32" i="20"/>
  <c r="I32" i="20"/>
  <c r="H32" i="20" s="1"/>
  <c r="B33" i="20"/>
  <c r="E32" i="20"/>
  <c r="F12" i="19"/>
  <c r="G12" i="19"/>
  <c r="O12" i="19"/>
  <c r="AB12" i="19"/>
  <c r="V12" i="19"/>
  <c r="U12" i="19"/>
  <c r="F13" i="19"/>
  <c r="K12" i="19"/>
  <c r="S12" i="19"/>
  <c r="AD12" i="19"/>
  <c r="H12" i="19"/>
  <c r="X12" i="19"/>
  <c r="I12" i="19"/>
  <c r="AA12" i="19"/>
  <c r="M12" i="19"/>
  <c r="J12" i="19"/>
  <c r="Z12" i="19"/>
  <c r="Y12" i="19"/>
  <c r="R12" i="19"/>
  <c r="T12" i="19"/>
  <c r="W12" i="19"/>
  <c r="N12" i="19"/>
  <c r="Q12" i="19"/>
  <c r="P12" i="19"/>
  <c r="L12" i="19"/>
  <c r="J46" i="23"/>
  <c r="J45" i="23"/>
  <c r="K14" i="23"/>
  <c r="J11" i="23"/>
  <c r="D13" i="16"/>
  <c r="J63" i="19"/>
  <c r="J11" i="19"/>
  <c r="J62" i="19"/>
  <c r="K14" i="19"/>
  <c r="B23" i="7"/>
  <c r="A22" i="7"/>
  <c r="E22" i="7" s="1"/>
  <c r="D22" i="7"/>
  <c r="J14" i="16"/>
  <c r="I59" i="16"/>
  <c r="I58" i="16"/>
  <c r="I11" i="16"/>
  <c r="D28" i="27" l="1"/>
  <c r="M33" i="20"/>
  <c r="M40" i="20"/>
  <c r="M49" i="20"/>
  <c r="M47" i="20"/>
  <c r="M39" i="20"/>
  <c r="M45" i="20"/>
  <c r="M32" i="20"/>
  <c r="M46" i="20"/>
  <c r="M44" i="20"/>
  <c r="M36" i="20"/>
  <c r="M42" i="20"/>
  <c r="M35" i="20"/>
  <c r="M50" i="20"/>
  <c r="M29" i="20"/>
  <c r="K47" i="23"/>
  <c r="O61" i="26"/>
  <c r="O62" i="26"/>
  <c r="O11" i="26"/>
  <c r="P14" i="26"/>
  <c r="N12" i="16"/>
  <c r="M51" i="20"/>
  <c r="M43" i="20"/>
  <c r="M31" i="20"/>
  <c r="M37" i="20"/>
  <c r="M41" i="20"/>
  <c r="M30" i="20"/>
  <c r="M38" i="20"/>
  <c r="M48" i="20"/>
  <c r="M34" i="20"/>
  <c r="B34" i="20"/>
  <c r="I33" i="20"/>
  <c r="H33" i="20" s="1"/>
  <c r="F33" i="20"/>
  <c r="E33" i="20"/>
  <c r="K32" i="20"/>
  <c r="G32" i="20"/>
  <c r="K45" i="23"/>
  <c r="L14" i="23"/>
  <c r="K11" i="23"/>
  <c r="K46" i="23"/>
  <c r="X12" i="16"/>
  <c r="AA12" i="16"/>
  <c r="U12" i="16"/>
  <c r="S12" i="16"/>
  <c r="O12" i="16"/>
  <c r="J12" i="16"/>
  <c r="T12" i="16"/>
  <c r="G12" i="16"/>
  <c r="AC12" i="16"/>
  <c r="Y12" i="16"/>
  <c r="K12" i="16"/>
  <c r="Z12" i="16"/>
  <c r="Q12" i="16"/>
  <c r="F12" i="16"/>
  <c r="P12" i="16"/>
  <c r="H12" i="16"/>
  <c r="V12" i="16"/>
  <c r="W12" i="16"/>
  <c r="I12" i="16"/>
  <c r="L12" i="16"/>
  <c r="R12" i="16"/>
  <c r="M12" i="16"/>
  <c r="AD12" i="16"/>
  <c r="AB12" i="16"/>
  <c r="J59" i="16"/>
  <c r="J58" i="16"/>
  <c r="K14" i="16"/>
  <c r="J11" i="16"/>
  <c r="K63" i="19"/>
  <c r="L14" i="19"/>
  <c r="K62" i="19"/>
  <c r="K11" i="19"/>
  <c r="D23" i="7"/>
  <c r="A23" i="7"/>
  <c r="E23" i="7" s="1"/>
  <c r="B24" i="7"/>
  <c r="D29" i="27" l="1"/>
  <c r="P62" i="26"/>
  <c r="Q14" i="26"/>
  <c r="P61" i="26"/>
  <c r="P11" i="26"/>
  <c r="D22" i="20"/>
  <c r="G33" i="20"/>
  <c r="K33" i="20"/>
  <c r="E34" i="20"/>
  <c r="I34" i="20"/>
  <c r="H34" i="20" s="1"/>
  <c r="F34" i="20"/>
  <c r="B35" i="20"/>
  <c r="L45" i="23"/>
  <c r="L46" i="23"/>
  <c r="M14" i="23"/>
  <c r="M47" i="23" s="1"/>
  <c r="L11" i="23"/>
  <c r="K58" i="16"/>
  <c r="L14" i="16"/>
  <c r="K59" i="16"/>
  <c r="K11" i="16"/>
  <c r="L11" i="19"/>
  <c r="M14" i="19"/>
  <c r="L62" i="19"/>
  <c r="L63" i="19"/>
  <c r="D24" i="7"/>
  <c r="A24" i="7"/>
  <c r="E24" i="7" s="1"/>
  <c r="B25" i="7"/>
  <c r="D30" i="27" l="1"/>
  <c r="E30" i="27"/>
  <c r="Q62" i="26"/>
  <c r="R14" i="26"/>
  <c r="Q11" i="26"/>
  <c r="Q61" i="26"/>
  <c r="E35" i="20"/>
  <c r="F35" i="20"/>
  <c r="I35" i="20"/>
  <c r="H35" i="20" s="1"/>
  <c r="B36" i="20"/>
  <c r="G34" i="20"/>
  <c r="K34" i="20"/>
  <c r="N14" i="23"/>
  <c r="N47" i="23" s="1"/>
  <c r="M11" i="23"/>
  <c r="M46" i="23"/>
  <c r="M45" i="23"/>
  <c r="M63" i="19"/>
  <c r="M11" i="19"/>
  <c r="M62" i="19"/>
  <c r="N14" i="19"/>
  <c r="M14" i="16"/>
  <c r="L58" i="16"/>
  <c r="L11" i="16"/>
  <c r="L59" i="16"/>
  <c r="D25" i="7"/>
  <c r="B26" i="7"/>
  <c r="A25" i="7"/>
  <c r="E25" i="7" s="1"/>
  <c r="R61" i="26" l="1"/>
  <c r="R11" i="26"/>
  <c r="R62" i="26"/>
  <c r="S14" i="26"/>
  <c r="F36" i="20"/>
  <c r="I36" i="20"/>
  <c r="H36" i="20" s="1"/>
  <c r="E36" i="20"/>
  <c r="B37" i="20"/>
  <c r="G35" i="20"/>
  <c r="K35" i="20"/>
  <c r="N46" i="23"/>
  <c r="N45" i="23"/>
  <c r="N11" i="23"/>
  <c r="O14" i="23"/>
  <c r="M58" i="16"/>
  <c r="N14" i="16"/>
  <c r="M59" i="16"/>
  <c r="M11" i="16"/>
  <c r="N62" i="19"/>
  <c r="N11" i="19"/>
  <c r="N63" i="19"/>
  <c r="O14" i="19"/>
  <c r="D26" i="7"/>
  <c r="B27" i="7"/>
  <c r="A26" i="7"/>
  <c r="E26" i="7" s="1"/>
  <c r="S61" i="26" l="1"/>
  <c r="S11" i="26"/>
  <c r="S62" i="26"/>
  <c r="T14" i="26"/>
  <c r="B38" i="20"/>
  <c r="F37" i="20"/>
  <c r="I37" i="20"/>
  <c r="H37" i="20" s="1"/>
  <c r="E37" i="20"/>
  <c r="G36" i="20"/>
  <c r="K36" i="20"/>
  <c r="O45" i="23"/>
  <c r="P14" i="23"/>
  <c r="O11" i="23"/>
  <c r="O46" i="23"/>
  <c r="D27" i="7"/>
  <c r="B28" i="7"/>
  <c r="A27" i="7"/>
  <c r="E27" i="7" s="1"/>
  <c r="O63" i="19"/>
  <c r="O62" i="19"/>
  <c r="O11" i="19"/>
  <c r="P14" i="19"/>
  <c r="N58" i="16"/>
  <c r="N11" i="16"/>
  <c r="N59" i="16"/>
  <c r="O14" i="16"/>
  <c r="T62" i="26" l="1"/>
  <c r="T61" i="26"/>
  <c r="T11" i="26"/>
  <c r="U14" i="26"/>
  <c r="G37" i="20"/>
  <c r="K37" i="20"/>
  <c r="E38" i="20"/>
  <c r="F38" i="20"/>
  <c r="I38" i="20"/>
  <c r="H38" i="20" s="1"/>
  <c r="B39" i="20"/>
  <c r="P45" i="23"/>
  <c r="P46" i="23"/>
  <c r="Q14" i="23"/>
  <c r="P11" i="23"/>
  <c r="A28" i="7"/>
  <c r="E28" i="7" s="1"/>
  <c r="B29" i="7"/>
  <c r="D28" i="7"/>
  <c r="O11" i="16"/>
  <c r="P14" i="16"/>
  <c r="O59" i="16"/>
  <c r="O58" i="16"/>
  <c r="Q14" i="19"/>
  <c r="P11" i="19"/>
  <c r="P62" i="19"/>
  <c r="P63" i="19"/>
  <c r="U62" i="26" l="1"/>
  <c r="V14" i="26"/>
  <c r="U11" i="26"/>
  <c r="U61" i="26"/>
  <c r="B40" i="20"/>
  <c r="E39" i="20"/>
  <c r="I39" i="20"/>
  <c r="H39" i="20" s="1"/>
  <c r="F39" i="20"/>
  <c r="G3" i="20"/>
  <c r="G19" i="20" s="1"/>
  <c r="G38" i="20"/>
  <c r="K38" i="20"/>
  <c r="R14" i="23"/>
  <c r="Q11" i="23"/>
  <c r="Q46" i="23"/>
  <c r="Q45" i="23"/>
  <c r="P59" i="16"/>
  <c r="P58" i="16"/>
  <c r="P11" i="16"/>
  <c r="Q14" i="16"/>
  <c r="Q63" i="19"/>
  <c r="R14" i="19"/>
  <c r="Q62" i="19"/>
  <c r="Q11" i="19"/>
  <c r="A29" i="7"/>
  <c r="E29" i="7" s="1"/>
  <c r="D29" i="7"/>
  <c r="B30" i="7"/>
  <c r="V61" i="26" l="1"/>
  <c r="W14" i="26"/>
  <c r="V62" i="26"/>
  <c r="V11" i="26"/>
  <c r="G20" i="20"/>
  <c r="D18" i="20"/>
  <c r="D19" i="20"/>
  <c r="D23" i="20"/>
  <c r="D24" i="20"/>
  <c r="D21" i="20"/>
  <c r="D20" i="20"/>
  <c r="K39" i="20"/>
  <c r="G39" i="20"/>
  <c r="I40" i="20"/>
  <c r="H40" i="20" s="1"/>
  <c r="B41" i="20"/>
  <c r="F40" i="20"/>
  <c r="E40" i="20"/>
  <c r="R46" i="23"/>
  <c r="R45" i="23"/>
  <c r="S14" i="23"/>
  <c r="R11" i="23"/>
  <c r="R62" i="19"/>
  <c r="R63" i="19"/>
  <c r="S14" i="19"/>
  <c r="R11" i="19"/>
  <c r="Q59" i="16"/>
  <c r="R14" i="16"/>
  <c r="Q58" i="16"/>
  <c r="Q11" i="16"/>
  <c r="D30" i="7"/>
  <c r="A30" i="7"/>
  <c r="E30" i="7" s="1"/>
  <c r="W61" i="26" l="1"/>
  <c r="W62" i="26"/>
  <c r="W11" i="26"/>
  <c r="X14" i="26"/>
  <c r="B42" i="20"/>
  <c r="I41" i="20"/>
  <c r="H41" i="20" s="1"/>
  <c r="F41" i="20"/>
  <c r="E41" i="20"/>
  <c r="K40" i="20"/>
  <c r="G40" i="20"/>
  <c r="S45" i="23"/>
  <c r="T14" i="23"/>
  <c r="S11" i="23"/>
  <c r="S46" i="23"/>
  <c r="T14" i="19"/>
  <c r="S11" i="19"/>
  <c r="S62" i="19"/>
  <c r="S63" i="19"/>
  <c r="R58" i="16"/>
  <c r="R11" i="16"/>
  <c r="R59" i="16"/>
  <c r="S14" i="16"/>
  <c r="X62" i="26" l="1"/>
  <c r="X61" i="26"/>
  <c r="Y14" i="26"/>
  <c r="X11" i="26"/>
  <c r="K41" i="20"/>
  <c r="G41" i="20"/>
  <c r="I42" i="20"/>
  <c r="H42" i="20" s="1"/>
  <c r="F42" i="20"/>
  <c r="E42" i="20"/>
  <c r="B43" i="20"/>
  <c r="T45" i="23"/>
  <c r="T46" i="23"/>
  <c r="T11" i="23"/>
  <c r="U14" i="23"/>
  <c r="S59" i="16"/>
  <c r="S11" i="16"/>
  <c r="S58" i="16"/>
  <c r="T14" i="16"/>
  <c r="T63" i="19"/>
  <c r="T62" i="19"/>
  <c r="T11" i="19"/>
  <c r="U14" i="19"/>
  <c r="Y62" i="26" l="1"/>
  <c r="Z14" i="26"/>
  <c r="Y11" i="26"/>
  <c r="Y61" i="26"/>
  <c r="F43" i="20"/>
  <c r="B44" i="20"/>
  <c r="I43" i="20"/>
  <c r="H43" i="20" s="1"/>
  <c r="E43" i="20"/>
  <c r="K42" i="20"/>
  <c r="G42" i="20"/>
  <c r="V14" i="23"/>
  <c r="U11" i="23"/>
  <c r="U46" i="23"/>
  <c r="U45" i="23"/>
  <c r="U11" i="19"/>
  <c r="U63" i="19"/>
  <c r="V14" i="19"/>
  <c r="U62" i="19"/>
  <c r="T11" i="16"/>
  <c r="T58" i="16"/>
  <c r="U14" i="16"/>
  <c r="T59" i="16"/>
  <c r="Z61" i="26" l="1"/>
  <c r="Z11" i="26"/>
  <c r="AA14" i="26"/>
  <c r="Z62" i="26"/>
  <c r="E44" i="20"/>
  <c r="F44" i="20"/>
  <c r="B45" i="20"/>
  <c r="I44" i="20"/>
  <c r="H44" i="20" s="1"/>
  <c r="G43" i="20"/>
  <c r="K43" i="20"/>
  <c r="V46" i="23"/>
  <c r="V45" i="23"/>
  <c r="V11" i="23"/>
  <c r="W14" i="23"/>
  <c r="U11" i="16"/>
  <c r="V14" i="16"/>
  <c r="U59" i="16"/>
  <c r="U58" i="16"/>
  <c r="V62" i="19"/>
  <c r="V63" i="19"/>
  <c r="V11" i="19"/>
  <c r="W14" i="19"/>
  <c r="AA61" i="26" l="1"/>
  <c r="AB14" i="26"/>
  <c r="AA62" i="26"/>
  <c r="AA11" i="26"/>
  <c r="G44" i="20"/>
  <c r="K44" i="20"/>
  <c r="E45" i="20"/>
  <c r="F45" i="20"/>
  <c r="I45" i="20"/>
  <c r="H45" i="20" s="1"/>
  <c r="B46" i="20"/>
  <c r="W45" i="23"/>
  <c r="X14" i="23"/>
  <c r="W11" i="23"/>
  <c r="W46" i="23"/>
  <c r="W11" i="19"/>
  <c r="W63" i="19"/>
  <c r="W62" i="19"/>
  <c r="X14" i="19"/>
  <c r="V58" i="16"/>
  <c r="V11" i="16"/>
  <c r="V59" i="16"/>
  <c r="W14" i="16"/>
  <c r="AB62" i="26" l="1"/>
  <c r="AB61" i="26"/>
  <c r="AB11" i="26"/>
  <c r="AC14" i="26"/>
  <c r="F46" i="20"/>
  <c r="E46" i="20"/>
  <c r="I46" i="20"/>
  <c r="H46" i="20" s="1"/>
  <c r="B47" i="20"/>
  <c r="G45" i="20"/>
  <c r="K45" i="20"/>
  <c r="X45" i="23"/>
  <c r="X46" i="23"/>
  <c r="X11" i="23"/>
  <c r="Y14" i="23"/>
  <c r="W59" i="16"/>
  <c r="W11" i="16"/>
  <c r="W58" i="16"/>
  <c r="X14" i="16"/>
  <c r="X11" i="19"/>
  <c r="Y14" i="19"/>
  <c r="X63" i="19"/>
  <c r="X62" i="19"/>
  <c r="AC62" i="26" l="1"/>
  <c r="AC60" i="26"/>
  <c r="AC59" i="26"/>
  <c r="AC58" i="26"/>
  <c r="AC57" i="26"/>
  <c r="AC56" i="26"/>
  <c r="AC55" i="26"/>
  <c r="AC54" i="26"/>
  <c r="AC53" i="26"/>
  <c r="AC52" i="26"/>
  <c r="AC51" i="26"/>
  <c r="AC50" i="26"/>
  <c r="AC49" i="26"/>
  <c r="AC48" i="26"/>
  <c r="AC47" i="26"/>
  <c r="AC46" i="26"/>
  <c r="AC45" i="26"/>
  <c r="AC44" i="26"/>
  <c r="AC43" i="26"/>
  <c r="AC42" i="26"/>
  <c r="AC41" i="26"/>
  <c r="AC40" i="26"/>
  <c r="AC39" i="26"/>
  <c r="AC37" i="26"/>
  <c r="AC35" i="26"/>
  <c r="AC33" i="26"/>
  <c r="AC31" i="26"/>
  <c r="AC29" i="26"/>
  <c r="AC27" i="26"/>
  <c r="AD14" i="26"/>
  <c r="AC11" i="26"/>
  <c r="AC38" i="26"/>
  <c r="AC34" i="26"/>
  <c r="AC30" i="26"/>
  <c r="AC61" i="26"/>
  <c r="AC36" i="26"/>
  <c r="AC32" i="26"/>
  <c r="AC28" i="26"/>
  <c r="AC26" i="26"/>
  <c r="B48" i="20"/>
  <c r="F47" i="20"/>
  <c r="E47" i="20"/>
  <c r="I47" i="20"/>
  <c r="H47" i="20" s="1"/>
  <c r="G46" i="20"/>
  <c r="K46" i="20"/>
  <c r="Z14" i="23"/>
  <c r="Y11" i="23"/>
  <c r="Y46" i="23"/>
  <c r="Y45" i="23"/>
  <c r="Y62" i="19"/>
  <c r="Y63" i="19"/>
  <c r="Z14" i="19"/>
  <c r="Y11" i="19"/>
  <c r="Y14" i="16"/>
  <c r="X58" i="16"/>
  <c r="X11" i="16"/>
  <c r="X59" i="16"/>
  <c r="AD61" i="26" l="1"/>
  <c r="AD38" i="26"/>
  <c r="AD36" i="26"/>
  <c r="AD34" i="26"/>
  <c r="AD32" i="26"/>
  <c r="AD30" i="26"/>
  <c r="AD28" i="26"/>
  <c r="AD26" i="26"/>
  <c r="AD59" i="26"/>
  <c r="AD55" i="26"/>
  <c r="AD51" i="26"/>
  <c r="AD47" i="26"/>
  <c r="AD43" i="26"/>
  <c r="AD39" i="26"/>
  <c r="AD35" i="26"/>
  <c r="AD31" i="26"/>
  <c r="AD27" i="26"/>
  <c r="AD62" i="26"/>
  <c r="AD60" i="26"/>
  <c r="AD56" i="26"/>
  <c r="AD52" i="26"/>
  <c r="AD48" i="26"/>
  <c r="AD44" i="26"/>
  <c r="AD11" i="26"/>
  <c r="AD57" i="26"/>
  <c r="AD53" i="26"/>
  <c r="AD49" i="26"/>
  <c r="AD45" i="26"/>
  <c r="AD41" i="26"/>
  <c r="AD37" i="26"/>
  <c r="AD33" i="26"/>
  <c r="AD29" i="26"/>
  <c r="AD58" i="26"/>
  <c r="AD54" i="26"/>
  <c r="AD50" i="26"/>
  <c r="AD46" i="26"/>
  <c r="AD42" i="26"/>
  <c r="AD40" i="26"/>
  <c r="G47" i="20"/>
  <c r="K47" i="20"/>
  <c r="I48" i="20"/>
  <c r="H48" i="20" s="1"/>
  <c r="B49" i="20"/>
  <c r="E48" i="20"/>
  <c r="F48" i="20"/>
  <c r="Z46" i="23"/>
  <c r="Z45" i="23"/>
  <c r="AA14" i="23"/>
  <c r="Z11" i="23"/>
  <c r="Y58" i="16"/>
  <c r="Z14" i="16"/>
  <c r="Y11" i="16"/>
  <c r="Y59" i="16"/>
  <c r="Z62" i="19"/>
  <c r="AA14" i="19"/>
  <c r="Z63" i="19"/>
  <c r="Z11" i="19"/>
  <c r="G48" i="20" l="1"/>
  <c r="K48" i="20"/>
  <c r="F49" i="20"/>
  <c r="B50" i="20"/>
  <c r="I49" i="20"/>
  <c r="H49" i="20" s="1"/>
  <c r="E49" i="20"/>
  <c r="AA45" i="23"/>
  <c r="AB14" i="23"/>
  <c r="AA11" i="23"/>
  <c r="AA46" i="23"/>
  <c r="Z58" i="16"/>
  <c r="Z11" i="16"/>
  <c r="Z59" i="16"/>
  <c r="AA14" i="16"/>
  <c r="AA11" i="19"/>
  <c r="AB14" i="19"/>
  <c r="AA63" i="19"/>
  <c r="AA62" i="19"/>
  <c r="I50" i="20" l="1"/>
  <c r="H50" i="20" s="1"/>
  <c r="B51" i="20"/>
  <c r="E50" i="20"/>
  <c r="F50" i="20"/>
  <c r="K49" i="20"/>
  <c r="G49" i="20"/>
  <c r="AB45" i="23"/>
  <c r="AB46" i="23"/>
  <c r="AC14" i="23"/>
  <c r="AB11" i="23"/>
  <c r="AA59" i="16"/>
  <c r="AA58" i="16"/>
  <c r="AB14" i="16"/>
  <c r="AA11" i="16"/>
  <c r="AB62" i="19"/>
  <c r="AB11" i="19"/>
  <c r="AC14" i="19"/>
  <c r="AB63" i="19"/>
  <c r="K50" i="20" l="1"/>
  <c r="G50" i="20"/>
  <c r="F51" i="20"/>
  <c r="E51" i="20"/>
  <c r="I51" i="20"/>
  <c r="H51" i="20" s="1"/>
  <c r="AD14" i="23"/>
  <c r="AC11" i="23"/>
  <c r="AC46" i="23"/>
  <c r="AC44" i="23"/>
  <c r="AC43" i="23"/>
  <c r="AC42" i="23"/>
  <c r="AC41" i="23"/>
  <c r="AC40" i="23"/>
  <c r="AC39" i="23"/>
  <c r="AC38" i="23"/>
  <c r="AC45" i="23"/>
  <c r="AC34" i="23"/>
  <c r="AC30" i="23"/>
  <c r="AC26" i="23"/>
  <c r="AC59" i="23"/>
  <c r="AC55" i="23"/>
  <c r="AC51" i="23"/>
  <c r="AC36" i="23"/>
  <c r="AC28" i="23"/>
  <c r="AC53" i="23"/>
  <c r="AC29" i="23"/>
  <c r="AC35" i="23"/>
  <c r="AC31" i="23"/>
  <c r="AC27" i="23"/>
  <c r="AC62" i="23"/>
  <c r="AC58" i="23"/>
  <c r="AC54" i="23"/>
  <c r="AC50" i="23"/>
  <c r="AC32" i="23"/>
  <c r="AC25" i="23"/>
  <c r="AC61" i="23"/>
  <c r="AC57" i="23"/>
  <c r="AC49" i="23"/>
  <c r="AC37" i="23"/>
  <c r="AC33" i="23"/>
  <c r="AC47" i="23"/>
  <c r="AC60" i="23"/>
  <c r="AC56" i="23"/>
  <c r="AC52" i="23"/>
  <c r="AC58" i="19"/>
  <c r="AC57" i="19"/>
  <c r="AC30" i="19"/>
  <c r="AC54" i="19"/>
  <c r="AC32" i="19"/>
  <c r="AC62" i="19"/>
  <c r="AC63" i="19"/>
  <c r="AC56" i="19"/>
  <c r="AC48" i="19"/>
  <c r="AC36" i="19"/>
  <c r="AC31" i="19"/>
  <c r="AC34" i="19"/>
  <c r="AC46" i="19"/>
  <c r="AC49" i="19"/>
  <c r="AC44" i="19"/>
  <c r="AC11" i="19"/>
  <c r="AC53" i="19"/>
  <c r="AC29" i="19"/>
  <c r="AC41" i="19"/>
  <c r="AC50" i="19"/>
  <c r="AD14" i="19"/>
  <c r="AC55" i="19"/>
  <c r="AC51" i="19"/>
  <c r="AC38" i="19"/>
  <c r="AC52" i="19"/>
  <c r="AC61" i="19"/>
  <c r="AC45" i="19"/>
  <c r="AC27" i="19"/>
  <c r="AC47" i="19"/>
  <c r="AC37" i="19"/>
  <c r="AC60" i="19"/>
  <c r="AC43" i="19"/>
  <c r="AC42" i="19"/>
  <c r="AC39" i="19"/>
  <c r="AC28" i="19"/>
  <c r="AC35" i="19"/>
  <c r="AC33" i="19"/>
  <c r="AC59" i="19"/>
  <c r="AC40" i="19"/>
  <c r="AB11" i="16"/>
  <c r="AC14" i="16"/>
  <c r="AB59" i="16"/>
  <c r="AB58" i="16"/>
  <c r="AC10" i="23" l="1"/>
  <c r="G51" i="20"/>
  <c r="K51" i="20"/>
  <c r="AD46" i="23"/>
  <c r="AD44" i="23"/>
  <c r="AD43" i="23"/>
  <c r="AD42" i="23"/>
  <c r="AD41" i="23"/>
  <c r="AD40" i="23"/>
  <c r="AD39" i="23"/>
  <c r="AD38" i="23"/>
  <c r="AD37" i="23"/>
  <c r="AD36" i="23"/>
  <c r="AD35" i="23"/>
  <c r="AD34" i="23"/>
  <c r="AD33" i="23"/>
  <c r="AD32" i="23"/>
  <c r="AD31" i="23"/>
  <c r="AD30" i="23"/>
  <c r="AD29" i="23"/>
  <c r="AD28" i="23"/>
  <c r="AD27" i="23"/>
  <c r="AD26" i="23"/>
  <c r="AD47" i="23"/>
  <c r="AD25" i="23"/>
  <c r="AD62" i="23"/>
  <c r="AD60" i="23"/>
  <c r="AD58" i="23"/>
  <c r="AD56" i="23"/>
  <c r="AD54" i="23"/>
  <c r="AD52" i="23"/>
  <c r="AD50" i="23"/>
  <c r="AD45" i="23"/>
  <c r="AD61" i="23"/>
  <c r="AD59" i="23"/>
  <c r="AD57" i="23"/>
  <c r="AD55" i="23"/>
  <c r="AD53" i="23"/>
  <c r="AD51" i="23"/>
  <c r="AD49" i="23"/>
  <c r="AD11" i="23"/>
  <c r="AC32" i="16"/>
  <c r="AC30" i="16"/>
  <c r="AC59" i="16"/>
  <c r="AC40" i="16"/>
  <c r="AC46" i="16"/>
  <c r="AC26" i="16"/>
  <c r="AC44" i="16"/>
  <c r="AC50" i="16"/>
  <c r="AC34" i="16"/>
  <c r="AC52" i="16"/>
  <c r="AC31" i="16"/>
  <c r="AC49" i="16"/>
  <c r="AC48" i="16"/>
  <c r="AC16" i="16"/>
  <c r="AC42" i="16"/>
  <c r="AC56" i="16"/>
  <c r="AC21" i="16"/>
  <c r="AC58" i="16"/>
  <c r="AC23" i="16"/>
  <c r="AC25" i="16"/>
  <c r="AC36" i="16"/>
  <c r="AC11" i="16"/>
  <c r="AC33" i="16"/>
  <c r="AC27" i="16"/>
  <c r="AC18" i="16"/>
  <c r="AC37" i="16"/>
  <c r="AC39" i="16"/>
  <c r="AC38" i="16"/>
  <c r="AC20" i="16"/>
  <c r="AC43" i="16"/>
  <c r="AC24" i="16"/>
  <c r="AC53" i="16"/>
  <c r="AC22" i="16"/>
  <c r="AC51" i="16"/>
  <c r="AC47" i="16"/>
  <c r="AC29" i="16"/>
  <c r="AC35" i="16"/>
  <c r="AC19" i="16"/>
  <c r="AC41" i="16"/>
  <c r="AC54" i="16"/>
  <c r="AC17" i="16"/>
  <c r="AC57" i="16"/>
  <c r="AC45" i="16"/>
  <c r="AD14" i="16"/>
  <c r="AC55" i="16"/>
  <c r="AC28" i="16"/>
  <c r="AD55" i="19"/>
  <c r="AD30" i="19"/>
  <c r="AD56" i="19"/>
  <c r="AD48" i="19"/>
  <c r="AD46" i="19"/>
  <c r="AD49" i="19"/>
  <c r="AD50" i="19"/>
  <c r="AD51" i="19"/>
  <c r="AD37" i="19"/>
  <c r="AD32" i="19"/>
  <c r="AD35" i="19"/>
  <c r="AD45" i="19"/>
  <c r="AD61" i="19"/>
  <c r="AD38" i="19"/>
  <c r="AD58" i="19"/>
  <c r="AD43" i="19"/>
  <c r="AD57" i="19"/>
  <c r="AD11" i="19"/>
  <c r="AD63" i="19"/>
  <c r="AD36" i="19"/>
  <c r="AD28" i="19"/>
  <c r="AD47" i="19"/>
  <c r="AD52" i="19"/>
  <c r="AD54" i="19"/>
  <c r="AD62" i="19"/>
  <c r="AD59" i="19"/>
  <c r="AD29" i="19"/>
  <c r="AD34" i="19"/>
  <c r="AD40" i="19"/>
  <c r="AD27" i="19"/>
  <c r="AD60" i="19"/>
  <c r="AD33" i="19"/>
  <c r="AD31" i="19"/>
  <c r="AD44" i="19"/>
  <c r="AD42" i="19"/>
  <c r="AD41" i="19"/>
  <c r="AD53" i="19"/>
  <c r="AD39" i="19"/>
  <c r="AD10" i="23" l="1"/>
  <c r="D11" i="23" s="1"/>
  <c r="D13" i="23" s="1"/>
  <c r="P12" i="23" s="1"/>
  <c r="AD31" i="16"/>
  <c r="AD47" i="16"/>
  <c r="AD21" i="16"/>
  <c r="AD37" i="16"/>
  <c r="AD53" i="16"/>
  <c r="AD22" i="16"/>
  <c r="AD38" i="16"/>
  <c r="AD54" i="16"/>
  <c r="AD44" i="16"/>
  <c r="AD20" i="16"/>
  <c r="AD40" i="16"/>
  <c r="AD19" i="16"/>
  <c r="AD35" i="16"/>
  <c r="AD51" i="16"/>
  <c r="AD25" i="16"/>
  <c r="AD41" i="16"/>
  <c r="AD57" i="16"/>
  <c r="AD26" i="16"/>
  <c r="AD42" i="16"/>
  <c r="AD59" i="16"/>
  <c r="AD16" i="16"/>
  <c r="AD36" i="16"/>
  <c r="AD56" i="16"/>
  <c r="AD39" i="16"/>
  <c r="AD29" i="16"/>
  <c r="AD58" i="16"/>
  <c r="AD46" i="16"/>
  <c r="AD32" i="16"/>
  <c r="AD43" i="16"/>
  <c r="AD33" i="16"/>
  <c r="AD11" i="16"/>
  <c r="AD50" i="16"/>
  <c r="AD48" i="16"/>
  <c r="AD23" i="16"/>
  <c r="AD55" i="16"/>
  <c r="AD45" i="16"/>
  <c r="AD30" i="16"/>
  <c r="AD18" i="16"/>
  <c r="AD52" i="16"/>
  <c r="AD49" i="16"/>
  <c r="AD34" i="16"/>
  <c r="AD27" i="16"/>
  <c r="AD28" i="16"/>
  <c r="AD17" i="16"/>
  <c r="AD24" i="16"/>
  <c r="F13" i="23" l="1"/>
  <c r="H12" i="23"/>
  <c r="AA12" i="23"/>
  <c r="L12" i="23"/>
  <c r="W12" i="23"/>
  <c r="N12" i="23"/>
  <c r="U12" i="23"/>
  <c r="Y12" i="23"/>
  <c r="AC12" i="23"/>
  <c r="K12" i="23"/>
  <c r="Q12" i="23"/>
  <c r="Z12" i="23"/>
  <c r="T12" i="23"/>
  <c r="I12" i="23"/>
  <c r="R12" i="23"/>
  <c r="F12" i="23"/>
  <c r="M12" i="23"/>
  <c r="AB12" i="23"/>
  <c r="G12" i="23"/>
  <c r="J12" i="23"/>
  <c r="X12" i="23"/>
  <c r="S12" i="23"/>
  <c r="AD12" i="23"/>
  <c r="V12" i="23"/>
  <c r="O12" i="23"/>
</calcChain>
</file>

<file path=xl/comments1.xml><?xml version="1.0" encoding="utf-8"?>
<comments xmlns="http://schemas.openxmlformats.org/spreadsheetml/2006/main">
  <authors>
    <author>Petri Heiramo</author>
    <author>Vale</author>
  </authors>
  <commentList>
    <comment ref="A4" authorId="0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  <comment ref="E5" authorId="1">
      <text>
        <r>
          <rPr>
            <b/>
            <sz val="9"/>
            <color indexed="81"/>
            <rFont val="Tahoma"/>
            <family val="2"/>
          </rPr>
          <t>Vale:</t>
        </r>
        <r>
          <rPr>
            <sz val="9"/>
            <color indexed="81"/>
            <rFont val="Tahoma"/>
            <family val="2"/>
          </rPr>
          <t xml:space="preserve">
Esta hecho en base al release plan 2
</t>
        </r>
      </text>
    </comment>
  </commentList>
</comments>
</file>

<file path=xl/comments2.xml><?xml version="1.0" encoding="utf-8"?>
<comments xmlns="http://schemas.openxmlformats.org/spreadsheetml/2006/main">
  <authors>
    <author>Petri Heiramo</author>
  </authors>
  <commentList>
    <comment ref="A9" author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3.xml><?xml version="1.0" encoding="utf-8"?>
<comments xmlns="http://schemas.openxmlformats.org/spreadsheetml/2006/main">
  <authors>
    <author>Petri Heiramo</author>
  </authors>
  <commentList>
    <comment ref="A9" author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>
  <authors>
    <author>Petri Heiramo</author>
  </authors>
  <commentList>
    <comment ref="A9" author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5.xml><?xml version="1.0" encoding="utf-8"?>
<comments xmlns="http://schemas.openxmlformats.org/spreadsheetml/2006/main">
  <authors>
    <author>Vale</author>
  </authors>
  <commentList>
    <comment ref="D3" authorId="0">
      <text>
        <r>
          <rPr>
            <b/>
            <sz val="9"/>
            <color indexed="81"/>
            <rFont val="Tahoma"/>
            <family val="2"/>
          </rPr>
          <t>Vale:</t>
        </r>
        <r>
          <rPr>
            <sz val="9"/>
            <color indexed="81"/>
            <rFont val="Tahoma"/>
            <family val="2"/>
          </rPr>
          <t xml:space="preserve">
No llegamos al compromiso fijado (14 story points) al no completar la historia #13</t>
        </r>
      </text>
    </comment>
  </commentList>
</comments>
</file>

<file path=xl/comments6.xml><?xml version="1.0" encoding="utf-8"?>
<comments xmlns="http://schemas.openxmlformats.org/spreadsheetml/2006/main">
  <authors>
    <author>Petri Heiramo</author>
  </authors>
  <commentList>
    <comment ref="B15" authorId="0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7.xml><?xml version="1.0" encoding="utf-8"?>
<comments xmlns="http://schemas.openxmlformats.org/spreadsheetml/2006/main">
  <authors>
    <author>Petri Heiramo</author>
  </authors>
  <commentList>
    <comment ref="A9" author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<sst xmlns="http://schemas.openxmlformats.org/spreadsheetml/2006/main" count="467" uniqueCount="200">
  <si>
    <t>Goal</t>
  </si>
  <si>
    <t>Start</t>
  </si>
  <si>
    <t>End</t>
  </si>
  <si>
    <t>Status</t>
  </si>
  <si>
    <t>Release Date</t>
  </si>
  <si>
    <t>Product Backlog</t>
  </si>
  <si>
    <t>Story name</t>
  </si>
  <si>
    <t>Task name</t>
  </si>
  <si>
    <t>Responsible</t>
  </si>
  <si>
    <t>Effort</t>
  </si>
  <si>
    <t>Est.</t>
  </si>
  <si>
    <t>Remaining on implementation day…</t>
  </si>
  <si>
    <t>Sprint implementation days</t>
  </si>
  <si>
    <t>Sprint</t>
  </si>
  <si>
    <t>Sprint Plan</t>
  </si>
  <si>
    <t>Increment Plan</t>
  </si>
  <si>
    <t>Incr.</t>
  </si>
  <si>
    <t>Totals</t>
  </si>
  <si>
    <t>Size</t>
  </si>
  <si>
    <t>Planned</t>
  </si>
  <si>
    <t>Unallocated stories</t>
  </si>
  <si>
    <t>Story ID</t>
  </si>
  <si>
    <t>Task rows</t>
  </si>
  <si>
    <t>Done days</t>
  </si>
  <si>
    <t>Trend</t>
  </si>
  <si>
    <t>Trend Days</t>
  </si>
  <si>
    <t>Warning! These are necessary</t>
  </si>
  <si>
    <t>template rows</t>
  </si>
  <si>
    <t>Trend calculated based on last</t>
  </si>
  <si>
    <t>Days</t>
  </si>
  <si>
    <t>Template note: Increment plan is intended to collect individual sprints into larger releases. In smaller projects, this is not needed.</t>
  </si>
  <si>
    <t>Increment</t>
  </si>
  <si>
    <t>Product Backlog Burndown Chart</t>
  </si>
  <si>
    <t>Realized</t>
  </si>
  <si>
    <t>Col top</t>
  </si>
  <si>
    <t>Col bottom</t>
  </si>
  <si>
    <t>Original planned size</t>
  </si>
  <si>
    <t>Do not delete…</t>
  </si>
  <si>
    <t>Sprint count</t>
  </si>
  <si>
    <t>Count trend from last</t>
  </si>
  <si>
    <t>Trend offset</t>
  </si>
  <si>
    <t>Sprints in Trend</t>
  </si>
  <si>
    <t>Current Bottom</t>
  </si>
  <si>
    <t>Real Trend</t>
  </si>
  <si>
    <t>Original estimate</t>
  </si>
  <si>
    <t>Realized average</t>
  </si>
  <si>
    <t>Average last 8</t>
  </si>
  <si>
    <t>Avg. worst 3 in last 8</t>
  </si>
  <si>
    <t>Raw Trend</t>
  </si>
  <si>
    <t>Trend count</t>
  </si>
  <si>
    <t>These hidden cells are used to draw the graph on this page. DO NOT DELETE!</t>
  </si>
  <si>
    <t>Predictions - Completion at the end of sprint…</t>
  </si>
  <si>
    <t>Original estimate - Min</t>
  </si>
  <si>
    <t>Original estimate - Max</t>
  </si>
  <si>
    <t>Original estimate - Avg</t>
  </si>
  <si>
    <t>Trend Help</t>
  </si>
  <si>
    <t>Trend sprint count</t>
  </si>
  <si>
    <t>Realized total average</t>
  </si>
  <si>
    <t>Standard Dev.</t>
  </si>
  <si>
    <t>Realized + St. Dev</t>
  </si>
  <si>
    <t>Realized - St. Dev</t>
  </si>
  <si>
    <t>LastPlanned</t>
  </si>
  <si>
    <t>LastRealized</t>
  </si>
  <si>
    <t>Remain.Work</t>
  </si>
  <si>
    <t>Planned Work</t>
  </si>
  <si>
    <t>Realized Work</t>
  </si>
  <si>
    <t>Current Total Size</t>
  </si>
  <si>
    <t>Average Speeds</t>
  </si>
  <si>
    <t>Last 8</t>
  </si>
  <si>
    <t>Worst 3 in Last 8</t>
  </si>
  <si>
    <t>Velocity (points per sprint)</t>
  </si>
  <si>
    <t>Priority</t>
  </si>
  <si>
    <t xml:space="preserve"> </t>
  </si>
  <si>
    <t>Note:</t>
  </si>
  <si>
    <t xml:space="preserve">In this chart, the tops of the bars show the amount of actual </t>
  </si>
  <si>
    <t>in the project increases, the bottoms move lower). The length</t>
  </si>
  <si>
    <t>of the bars indicate the estimated size of the project at the</t>
  </si>
  <si>
    <t xml:space="preserve">(or planned) implemented functionality at the beginning of each sprint. </t>
  </si>
  <si>
    <t>The bottoms of the bars show the changes in project scope</t>
  </si>
  <si>
    <t>(i.e. if the amount of story points</t>
  </si>
  <si>
    <t xml:space="preserve">beginning of each sprint. </t>
  </si>
  <si>
    <t>The red line indicates the current planned scope.</t>
  </si>
  <si>
    <t>Initial 
Estimate</t>
  </si>
  <si>
    <t>Story ID:</t>
  </si>
  <si>
    <t>Story:</t>
  </si>
  <si>
    <t>Task:</t>
  </si>
  <si>
    <t>Work 
Left</t>
  </si>
  <si>
    <t>Work 
Done</t>
  </si>
  <si>
    <t>Description</t>
  </si>
  <si>
    <t xml:space="preserve">Consultar materias para inscripción a cursado </t>
  </si>
  <si>
    <t>Ongoing</t>
  </si>
  <si>
    <t>Ranking</t>
  </si>
  <si>
    <t>Acceptance</t>
  </si>
  <si>
    <t>Team</t>
  </si>
  <si>
    <t xml:space="preserve">Selección de combo/ unidades </t>
  </si>
  <si>
    <t>Seleccionar  cantidad por unidad</t>
  </si>
  <si>
    <t>Agregar descripción pedido</t>
  </si>
  <si>
    <t>Como usuario quiero poder seleccionar un producto para poder armar mi pedido.</t>
  </si>
  <si>
    <t>Como usuario quiero seleccionar la cantidad de cada combo o unidad para poder pedir más de un mismo producto.</t>
  </si>
  <si>
    <t>Como usuario quiero agregar una descripción dentro del pedido para armarlo según mis preferencias.</t>
  </si>
  <si>
    <t>Como usuario quiero conocer la ubicación de las sucursales para saber cuál es la más cercana a mi domicilio.</t>
  </si>
  <si>
    <t>Gestionar ubicación de sucursales</t>
  </si>
  <si>
    <t>_poder seleccionar una cantidad especifica para un producto. (por defecto 1 para el producto seleccionado)                                                                  _La cantidad maxima por producto es 10.                 _Si el producto no esta seleccionado no se  habilita la opcion para modificar cantidad.                _Solo se permiten valores entre 1-10.</t>
  </si>
  <si>
    <t xml:space="preserve">_Se habilita cuando se selecciona un producto.      </t>
  </si>
  <si>
    <t>_ Visualizar mapa con indicacion de la ubicación de las distintas sucursales.</t>
  </si>
  <si>
    <t>alta</t>
  </si>
  <si>
    <t>media</t>
  </si>
  <si>
    <t>baja</t>
  </si>
  <si>
    <t>Programar selección de combo/unidad</t>
  </si>
  <si>
    <t>Belu</t>
  </si>
  <si>
    <t>Agus</t>
  </si>
  <si>
    <t>Subir la bd al servidor y conectarla con visual</t>
  </si>
  <si>
    <t>Vale</t>
  </si>
  <si>
    <t>Crear site master y pagina principal</t>
  </si>
  <si>
    <t>Mostrar pagina con sucursales y sus direcciones</t>
  </si>
  <si>
    <t>Programar la insercion del pedido y su detalle a la BD</t>
  </si>
  <si>
    <t xml:space="preserve">_ Poder seleccionar mas de un producto.                _ Si no se selecciona ningun producto no se habilita el botón "Realizar pedido".                               _Con un click en el botón seleccionar se agrega el producto al pedido.                                                                               </t>
  </si>
  <si>
    <t>Programar el ingreso de una descripcion de la unidad selec</t>
  </si>
  <si>
    <t>Programar el ingreso de cantidad por unidad seleccionada</t>
  </si>
  <si>
    <t>Programar el acceso a datos</t>
  </si>
  <si>
    <t>creación de BD (con datos)</t>
  </si>
  <si>
    <t>Done</t>
  </si>
  <si>
    <t>Retrospectiva sprint 1</t>
  </si>
  <si>
    <t>QUE HICIMOS BIEN?</t>
  </si>
  <si>
    <t>QUE HICIMOS MAL?</t>
  </si>
  <si>
    <t>MEJORAS</t>
  </si>
  <si>
    <t>Gestionar registro de usuario</t>
  </si>
  <si>
    <t>Como cliente de Mc Donalds, quiero registrarme a la página de pedidos, para poder realizar mi pedido y que la transacción quede registrada a mi nombre</t>
  </si>
  <si>
    <t>. Se pueden registrar nuevos usuarios al sistema..                                                    Los datos requeridos son: nombre de usuario, password, nombre y apellido, mail, teléfono       . No se pueden crear dos usuarios con el mismo nombre de usuario o mail                      . Los pedidos se guardan con el nombre de usuario que los originó</t>
  </si>
  <si>
    <t>Programar selección de items repetidos</t>
  </si>
  <si>
    <t>programar resumen de pedido</t>
  </si>
  <si>
    <t>Programar el registro de usuarios</t>
  </si>
  <si>
    <t>Agregar mapa de Google maps</t>
  </si>
  <si>
    <t xml:space="preserve">Restringir el campo descripcion </t>
  </si>
  <si>
    <t>Agregar la descripcion a la Tabla de armado de pedido</t>
  </si>
  <si>
    <t>Validaciones de usuario</t>
  </si>
  <si>
    <t>Programar Asignacion de usuario a un pedido realizado</t>
  </si>
  <si>
    <t xml:space="preserve">Reemplazar selección por checkbox </t>
  </si>
  <si>
    <t>Modificar el modo de selección de productos durante la realización del pedido</t>
  </si>
  <si>
    <t>_La descripción no se está agregando a La tabla de resumen del pedido      _Si agrego una descripción muy larga, se rompe la aplicación al intentar confirmar el pedido                                                                                                     _El campo descripción debería ser del tipo "text area", para agregar descripciones largas</t>
  </si>
  <si>
    <t>_Luego de usar un rato la aplicación, al intentar confirmar un pedido (que tiene un ítem con cantidad mayor a 10), la aplicación muestra un error grave "Server Error in '/' Application."                                                       _Si intento agregar un ítem sin especificar la cantidad, la aplicación se rompe                                                                                                                                _Si en la cantidad le pongo una letra en vez de un número, se rompe la aplicación                                                                                                                          _Me deja agregar un ítem de cantidad 0 (cero)                                                _Al seleccionar "Volver", debe volver a la pantalla anterior, es decir, a la interfaz de pedidos</t>
  </si>
  <si>
    <t>_Al confirmar el pedido, debería mostrar un resumen del mismo (además del mensaje de confirmación).                                                                                             _Al seleccionar "Volver", debe volver a la pantalla anterior, es decir, a la interfaz de pedidos                                                                                                                         _Si elijo dos veces el mismo ítem, me lo agrega en dos filas distintas. Debería ser una sola fila, con la cantidad y el precio actualizados</t>
  </si>
  <si>
    <t>_El mapa tiene que ser un mapa de google, no una imagen fija (ej: no están todos los barrios)                                                                                              _Si se muestra una lista de las sucursales, la misma debe coincidir con los puntos del mapa, y debe mostrar información adicional (teléfono, dirección exacta, etc).</t>
  </si>
  <si>
    <t>Corrección de defectos Cosméticos</t>
  </si>
  <si>
    <t>_El banner rojo es muy alto, hace que tenga que hacer scroll vertical sí o sí  _"Select" y "Delete" están en inglés                                                                        _Estaría bueno que los campos de la derecha estén más arriba, así no hay que usar el scroll vertica                                                                                                          _Al abrir la página, la pestaña dice "página principal", pero con caracteres raros</t>
  </si>
  <si>
    <t>Corrección de defectos: Historia "Agregar descripción pedido"</t>
  </si>
  <si>
    <t>Corrección de defectos: Historia "Seleccionar  cantidad por unidad"</t>
  </si>
  <si>
    <t>Corrección de defectos: Historia "Selección de combo/ unidades "</t>
  </si>
  <si>
    <t>Corrección de defectos: Historia "Gestionar ubicación de sucursales"</t>
  </si>
  <si>
    <t>_Se pueden seleccionar varios productos para 1 pedido, ingresando su cantidad al seleccionar el producto.                                                   _Se puede  quitar la selección de un producto.  _Al hacer click en "confimar Pedido" aparece un resumen de todos los productos seleccionados con su respectiva cantidad ingresada.                                                   _No se van a incluir en el resumen aquellos productos  aquellos productos a los cuales se les ha ingresado una cantidad pero no han sido tildados.</t>
  </si>
  <si>
    <t>Modificar BD al guardar un pedido y consulta para insertar pedido</t>
  </si>
  <si>
    <t>Validacion cantidad y selección</t>
  </si>
  <si>
    <t>Modificar master page y fondo de cada formulario</t>
  </si>
  <si>
    <t>Mejorar estética de la tabla de productos</t>
  </si>
  <si>
    <t>Categorizacion y filtrado de productos</t>
  </si>
  <si>
    <t>Correccion de defecto campo telefono al registrar cliente</t>
  </si>
  <si>
    <t>Agregar configuracion de paginacion de tabla productos</t>
  </si>
  <si>
    <t>Integrarse con plataforma de mercado-pagos</t>
  </si>
  <si>
    <t>Como empleado de marketing de McDonalds quiero automatizar el ofrecimiento de productos adicionales al pedido.</t>
  </si>
  <si>
    <t>Agregar productos al pedido</t>
  </si>
  <si>
    <t>Agrandar combos automáticamente</t>
  </si>
  <si>
    <t>Como empresa (McDonald) quiero disponer de un mecanismo que ofrezca agrandar el combo (gaseosa mediana a grande, papas mediana a grande, etc). A partir de los productos solicitados.</t>
  </si>
  <si>
    <t>Venta de combos a partir de pedido</t>
  </si>
  <si>
    <t>Como empresa (McDonald) quiero ofrecer a mi cliente la posibilidad de armarle un combo que le resulte más económico a partir de los productos individualmente seleccionados.</t>
  </si>
  <si>
    <t>Administrar ofertas</t>
  </si>
  <si>
    <t>Como empleado de marketing de McDonalds quiero poder lanzar ofertas a partir de la página por tiempo indeterminado. Las ofertas son sobre productos existentes.</t>
  </si>
  <si>
    <t>Detallar sucursal y horario de retiro de pedido</t>
  </si>
  <si>
    <t>Como cliente quiero poder definir porqué sucursal y a qué hora quiero retirar mi pedido para que no esté frío.</t>
  </si>
  <si>
    <t>Búsqueda por nombre de producto</t>
  </si>
  <si>
    <t>Como cliente quiero poder filtrar la lista de productos a medida que escribo en un campo de búsqueda para facilitarme el armado del pedido.</t>
  </si>
  <si>
    <t>Administrar combos</t>
  </si>
  <si>
    <t>Como empleado de McDonalds quiero poder armar los combos con productos existentes y publicarlos desde/hasta o entre determinadas fechas</t>
  </si>
  <si>
    <t>Administrar productos</t>
  </si>
  <si>
    <t>Como empleado de McDonalds quiero poder administrar los productos que van a ser ofrecidos en la página. La información a agregar incluye la foto del mismo</t>
  </si>
  <si>
    <t>Agregar fotos a la tabla</t>
  </si>
  <si>
    <t>Como empleado de Marketing de McDonalds quiero poder agregar/modificar las fotos a los productos listados en la grilla para captar la atención de los clientes</t>
  </si>
  <si>
    <t>Administración de usuarios</t>
  </si>
  <si>
    <t>Como administrador del sistema quiero contar con un esquema que me permita identificar roles y las acciones posibles a ejecutar por cada uno de ellos en la página.</t>
  </si>
  <si>
    <t>Gestión de reportes</t>
  </si>
  <si>
    <t>Como gerente de Marketing de McDonals quiero poder diseñar listados básicos a partir de los datos de las compras</t>
  </si>
  <si>
    <t>Analytics de la página</t>
  </si>
  <si>
    <t>Como gerente de Marketing de McDonalds quiero poder contar con estadísticas de visitas a la página y las acciones más frecuentes para poder gestionar las ofertas e incrementar las ventas</t>
  </si>
  <si>
    <t>Media</t>
  </si>
  <si>
    <t>Baja</t>
  </si>
  <si>
    <t>(Fecha Fija)</t>
  </si>
  <si>
    <t>(Alcance fijo)</t>
  </si>
  <si>
    <t>Sprint 1</t>
  </si>
  <si>
    <t>Sprint 2</t>
  </si>
  <si>
    <t>Sprint 3</t>
  </si>
  <si>
    <t xml:space="preserve">Story points completados </t>
  </si>
  <si>
    <t>Velocidad</t>
  </si>
  <si>
    <t>Corrección de defectos de filtrado</t>
  </si>
  <si>
    <t>PROFE</t>
  </si>
  <si>
    <t>Riesgos</t>
  </si>
  <si>
    <t>Oportunidad de trabajo para 1 integrante del equipo, puede llevar a la reducción de la capacidad y por consiguiente del equipo</t>
  </si>
  <si>
    <t>Vacaciones</t>
  </si>
  <si>
    <t>Exámenes finales</t>
  </si>
  <si>
    <t>22,(30),29</t>
  </si>
  <si>
    <t>5,6,7</t>
  </si>
  <si>
    <t>Enfermedad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</si>
</sst>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25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1"/>
      <name val="Arial"/>
      <family val="2"/>
    </font>
    <font>
      <u/>
      <sz val="10"/>
      <name val="Arial"/>
      <family val="2"/>
    </font>
    <font>
      <sz val="9"/>
      <name val="Arial"/>
      <family val="2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0"/>
      <color rgb="FF222222"/>
      <name val="Arial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0" fontId="15" fillId="4" borderId="0" applyNumberFormat="0" applyBorder="0" applyAlignment="0" applyProtection="0"/>
  </cellStyleXfs>
  <cellXfs count="153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5" xfId="0" applyFont="1" applyFill="1" applyBorder="1" applyAlignment="1">
      <alignment horizontal="center"/>
    </xf>
    <xf numFmtId="0" fontId="1" fillId="2" borderId="15" xfId="0" applyFont="1" applyFill="1" applyBorder="1" applyAlignment="1">
      <alignment wrapText="1"/>
    </xf>
    <xf numFmtId="0" fontId="1" fillId="2" borderId="15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4" fontId="0" fillId="0" borderId="0" xfId="0" applyNumberFormat="1" applyFill="1" applyBorder="1" applyAlignment="1">
      <alignment horizontal="center"/>
    </xf>
    <xf numFmtId="0" fontId="0" fillId="0" borderId="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19" xfId="0" applyBorder="1" applyAlignment="1">
      <alignment vertical="top"/>
    </xf>
    <xf numFmtId="0" fontId="0" fillId="0" borderId="20" xfId="0" applyBorder="1" applyAlignment="1">
      <alignment vertical="top"/>
    </xf>
    <xf numFmtId="0" fontId="0" fillId="0" borderId="21" xfId="0" applyBorder="1" applyAlignment="1">
      <alignment vertical="top"/>
    </xf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24" xfId="0" applyBorder="1" applyAlignment="1">
      <alignment vertical="top"/>
    </xf>
    <xf numFmtId="0" fontId="0" fillId="0" borderId="25" xfId="0" applyBorder="1" applyAlignment="1">
      <alignment vertical="top"/>
    </xf>
    <xf numFmtId="0" fontId="0" fillId="0" borderId="26" xfId="0" applyBorder="1" applyAlignment="1">
      <alignment vertical="top" wrapText="1"/>
    </xf>
    <xf numFmtId="0" fontId="0" fillId="0" borderId="27" xfId="0" applyBorder="1" applyAlignment="1">
      <alignment vertical="top"/>
    </xf>
    <xf numFmtId="0" fontId="0" fillId="0" borderId="28" xfId="0" applyBorder="1" applyAlignment="1">
      <alignment vertical="top" wrapText="1"/>
    </xf>
    <xf numFmtId="0" fontId="0" fillId="0" borderId="29" xfId="0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31" xfId="0" applyBorder="1" applyAlignment="1">
      <alignment vertical="top"/>
    </xf>
    <xf numFmtId="0" fontId="1" fillId="0" borderId="32" xfId="0" applyFont="1" applyBorder="1" applyAlignment="1">
      <alignment horizontal="center" vertical="top"/>
    </xf>
    <xf numFmtId="0" fontId="10" fillId="0" borderId="2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7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center" vertical="center"/>
    </xf>
    <xf numFmtId="17" fontId="0" fillId="0" borderId="0" xfId="0" applyNumberFormat="1" applyAlignment="1">
      <alignment vertical="center" wrapText="1"/>
    </xf>
    <xf numFmtId="0" fontId="13" fillId="0" borderId="0" xfId="0" applyFont="1" applyAlignment="1">
      <alignment horizontal="center" vertical="top"/>
    </xf>
    <xf numFmtId="0" fontId="11" fillId="0" borderId="0" xfId="0" applyFont="1" applyAlignment="1">
      <alignment vertical="top" wrapText="1"/>
    </xf>
    <xf numFmtId="0" fontId="11" fillId="0" borderId="0" xfId="0" applyFont="1" applyAlignment="1">
      <alignment vertical="top"/>
    </xf>
    <xf numFmtId="0" fontId="0" fillId="0" borderId="15" xfId="0" applyBorder="1"/>
    <xf numFmtId="0" fontId="0" fillId="0" borderId="0" xfId="0" applyAlignment="1">
      <alignment horizontal="left" vertical="center"/>
    </xf>
    <xf numFmtId="0" fontId="0" fillId="0" borderId="15" xfId="0" applyBorder="1" applyAlignment="1">
      <alignment horizontal="left"/>
    </xf>
    <xf numFmtId="17" fontId="0" fillId="0" borderId="0" xfId="0" applyNumberFormat="1" applyAlignment="1">
      <alignment horizontal="left" vertical="center"/>
    </xf>
    <xf numFmtId="0" fontId="14" fillId="0" borderId="0" xfId="0" applyFont="1" applyAlignment="1">
      <alignment horizontal="left" vertical="center" wrapText="1"/>
    </xf>
    <xf numFmtId="0" fontId="14" fillId="0" borderId="0" xfId="0" applyFont="1" applyAlignment="1">
      <alignment vertical="center" wrapText="1"/>
    </xf>
    <xf numFmtId="0" fontId="11" fillId="0" borderId="0" xfId="0" applyFont="1"/>
    <xf numFmtId="0" fontId="0" fillId="0" borderId="0" xfId="0" applyAlignment="1">
      <alignment horizontal="center"/>
    </xf>
    <xf numFmtId="0" fontId="11" fillId="0" borderId="0" xfId="0" applyFont="1" applyAlignment="1"/>
    <xf numFmtId="0" fontId="20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2" fillId="0" borderId="34" xfId="0" applyFont="1" applyBorder="1" applyAlignment="1">
      <alignment vertical="center" wrapText="1"/>
    </xf>
    <xf numFmtId="0" fontId="22" fillId="0" borderId="33" xfId="0" applyFont="1" applyBorder="1" applyAlignment="1">
      <alignment vertical="center" wrapText="1"/>
    </xf>
    <xf numFmtId="0" fontId="14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11" fillId="0" borderId="2" xfId="0" applyNumberFormat="1" applyFont="1" applyFill="1" applyBorder="1" applyAlignment="1">
      <alignment horizontal="left"/>
    </xf>
    <xf numFmtId="0" fontId="11" fillId="0" borderId="3" xfId="0" applyNumberFormat="1" applyFont="1" applyFill="1" applyBorder="1" applyAlignment="1">
      <alignment horizontal="left"/>
    </xf>
    <xf numFmtId="0" fontId="0" fillId="0" borderId="14" xfId="0" applyBorder="1"/>
    <xf numFmtId="0" fontId="11" fillId="5" borderId="14" xfId="0" applyFont="1" applyFill="1" applyBorder="1"/>
    <xf numFmtId="0" fontId="11" fillId="6" borderId="14" xfId="0" applyFont="1" applyFill="1" applyBorder="1"/>
    <xf numFmtId="0" fontId="11" fillId="7" borderId="0" xfId="0" applyFont="1" applyFill="1" applyAlignment="1">
      <alignment horizontal="center" vertical="center"/>
    </xf>
    <xf numFmtId="0" fontId="13" fillId="0" borderId="0" xfId="0" applyFont="1"/>
    <xf numFmtId="0" fontId="12" fillId="0" borderId="0" xfId="0" applyFont="1" applyAlignment="1">
      <alignment horizontal="center" vertical="center"/>
    </xf>
    <xf numFmtId="0" fontId="16" fillId="4" borderId="0" xfId="1" applyFont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167" fontId="0" fillId="0" borderId="0" xfId="0" applyNumberFormat="1" applyAlignment="1">
      <alignment horizontal="left"/>
    </xf>
    <xf numFmtId="0" fontId="8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1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1" fillId="0" borderId="14" xfId="0" applyFont="1" applyBorder="1" applyAlignment="1">
      <alignment vertical="center" wrapText="1"/>
    </xf>
    <xf numFmtId="0" fontId="11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vertical="center" wrapText="1"/>
    </xf>
    <xf numFmtId="0" fontId="22" fillId="8" borderId="14" xfId="0" applyFont="1" applyFill="1" applyBorder="1" applyAlignment="1">
      <alignment horizontal="center" vertical="center"/>
    </xf>
    <xf numFmtId="0" fontId="22" fillId="8" borderId="14" xfId="0" applyFont="1" applyFill="1" applyBorder="1" applyAlignment="1">
      <alignment vertical="center" wrapText="1"/>
    </xf>
    <xf numFmtId="165" fontId="22" fillId="8" borderId="14" xfId="0" applyNumberFormat="1" applyFont="1" applyFill="1" applyBorder="1" applyAlignment="1">
      <alignment horizontal="center" vertical="center"/>
    </xf>
    <xf numFmtId="0" fontId="19" fillId="0" borderId="14" xfId="0" applyFont="1" applyBorder="1" applyAlignment="1">
      <alignment vertical="center"/>
    </xf>
    <xf numFmtId="0" fontId="18" fillId="0" borderId="14" xfId="0" applyFont="1" applyBorder="1" applyAlignment="1">
      <alignment vertical="center" wrapText="1"/>
    </xf>
    <xf numFmtId="0" fontId="19" fillId="0" borderId="14" xfId="0" applyFont="1" applyBorder="1" applyAlignment="1">
      <alignment vertical="center" wrapText="1"/>
    </xf>
    <xf numFmtId="0" fontId="19" fillId="0" borderId="14" xfId="0" applyFont="1" applyBorder="1"/>
    <xf numFmtId="0" fontId="20" fillId="0" borderId="14" xfId="0" applyFont="1" applyBorder="1" applyAlignment="1">
      <alignment vertical="center" wrapText="1"/>
    </xf>
    <xf numFmtId="0" fontId="21" fillId="0" borderId="14" xfId="0" applyFont="1" applyBorder="1" applyAlignment="1">
      <alignment horizontal="center" vertical="center" wrapText="1"/>
    </xf>
    <xf numFmtId="0" fontId="21" fillId="0" borderId="14" xfId="0" applyFont="1" applyBorder="1" applyAlignment="1">
      <alignment wrapText="1"/>
    </xf>
    <xf numFmtId="0" fontId="21" fillId="0" borderId="14" xfId="0" applyFont="1" applyBorder="1" applyAlignment="1">
      <alignment vertical="center" wrapText="1"/>
    </xf>
  </cellXfs>
  <cellStyles count="2">
    <cellStyle name="Énfasis2" xfId="1" builtinId="33"/>
    <cellStyle name="Normal" xfId="0" builtinId="0"/>
  </cellStyles>
  <dxfs count="334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strike val="0"/>
        <outline val="0"/>
        <shadow val="0"/>
        <u val="none"/>
        <vertAlign val="baseline"/>
        <sz val="9"/>
        <color auto="1"/>
        <name val="Arial"/>
        <scheme val="none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Arial"/>
        <scheme val="none"/>
      </font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34635691657866"/>
          <c:y val="8.8235610910252865E-2"/>
          <c:w val="0.81942977824709606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32</c:v>
                </c:pt>
                <c:pt idx="1">
                  <c:v>32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23</c:v>
                </c:pt>
                <c:pt idx="6">
                  <c:v>18</c:v>
                </c:pt>
                <c:pt idx="7">
                  <c:v>18</c:v>
                </c:pt>
                <c:pt idx="8">
                  <c:v>12</c:v>
                </c:pt>
                <c:pt idx="9">
                  <c:v>9</c:v>
                </c:pt>
                <c:pt idx="10">
                  <c:v>9</c:v>
                </c:pt>
                <c:pt idx="11">
                  <c:v>4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409152"/>
        <c:axId val="85427328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36</c:v>
                </c:pt>
                <c:pt idx="1">
                  <c:v>33.6</c:v>
                </c:pt>
                <c:pt idx="2">
                  <c:v>31.2</c:v>
                </c:pt>
                <c:pt idx="3">
                  <c:v>28.8</c:v>
                </c:pt>
                <c:pt idx="4">
                  <c:v>26.4</c:v>
                </c:pt>
                <c:pt idx="5">
                  <c:v>24</c:v>
                </c:pt>
                <c:pt idx="6">
                  <c:v>21.6</c:v>
                </c:pt>
                <c:pt idx="7">
                  <c:v>19.2</c:v>
                </c:pt>
                <c:pt idx="8">
                  <c:v>16.8</c:v>
                </c:pt>
                <c:pt idx="9">
                  <c:v>14.400000000000002</c:v>
                </c:pt>
                <c:pt idx="10">
                  <c:v>12</c:v>
                </c:pt>
                <c:pt idx="11">
                  <c:v>9.6000000000000014</c:v>
                </c:pt>
                <c:pt idx="12">
                  <c:v>7.2000000000000028</c:v>
                </c:pt>
                <c:pt idx="13">
                  <c:v>4.8000000000000007</c:v>
                </c:pt>
                <c:pt idx="14">
                  <c:v>2.3999999999999986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409152"/>
        <c:axId val="85427328"/>
      </c:lineChart>
      <c:catAx>
        <c:axId val="85409152"/>
        <c:scaling>
          <c:orientation val="minMax"/>
        </c:scaling>
        <c:delete val="1"/>
        <c:axPos val="b"/>
        <c:majorTickMark val="out"/>
        <c:minorTickMark val="none"/>
        <c:tickLblPos val="nextTo"/>
        <c:crossAx val="85427328"/>
        <c:crosses val="autoZero"/>
        <c:auto val="1"/>
        <c:lblAlgn val="ctr"/>
        <c:lblOffset val="100"/>
        <c:noMultiLvlLbl val="0"/>
      </c:catAx>
      <c:valAx>
        <c:axId val="8542732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7655293088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8540915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6782174380104E-3"/>
          <c:y val="6.6176470588235295E-2"/>
          <c:w val="0.11404432040931592"/>
          <c:h val="0.426472132159950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34635691657866"/>
          <c:y val="8.8235610910252865E-2"/>
          <c:w val="0.81942977824709606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'Sp2'!$F$10:$AD$10</c:f>
              <c:numCache>
                <c:formatCode>General</c:formatCode>
                <c:ptCount val="25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31</c:v>
                </c:pt>
                <c:pt idx="4">
                  <c:v>29</c:v>
                </c:pt>
                <c:pt idx="5">
                  <c:v>28</c:v>
                </c:pt>
                <c:pt idx="6">
                  <c:v>23</c:v>
                </c:pt>
                <c:pt idx="7">
                  <c:v>20</c:v>
                </c:pt>
                <c:pt idx="8">
                  <c:v>17</c:v>
                </c:pt>
                <c:pt idx="9">
                  <c:v>14</c:v>
                </c:pt>
                <c:pt idx="10">
                  <c:v>8</c:v>
                </c:pt>
                <c:pt idx="11">
                  <c:v>4</c:v>
                </c:pt>
                <c:pt idx="12">
                  <c:v>2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168704"/>
        <c:axId val="86170240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'Sp2'!$F$11:$AD$11</c:f>
              <c:numCache>
                <c:formatCode>General</c:formatCode>
                <c:ptCount val="25"/>
                <c:pt idx="0">
                  <c:v>33</c:v>
                </c:pt>
                <c:pt idx="1">
                  <c:v>30.8</c:v>
                </c:pt>
                <c:pt idx="2">
                  <c:v>28.6</c:v>
                </c:pt>
                <c:pt idx="3">
                  <c:v>26.4</c:v>
                </c:pt>
                <c:pt idx="4">
                  <c:v>24.2</c:v>
                </c:pt>
                <c:pt idx="5">
                  <c:v>22</c:v>
                </c:pt>
                <c:pt idx="6">
                  <c:v>19.799999999999997</c:v>
                </c:pt>
                <c:pt idx="7">
                  <c:v>17.599999999999998</c:v>
                </c:pt>
                <c:pt idx="8">
                  <c:v>15.399999999999999</c:v>
                </c:pt>
                <c:pt idx="9">
                  <c:v>13.2</c:v>
                </c:pt>
                <c:pt idx="10">
                  <c:v>11</c:v>
                </c:pt>
                <c:pt idx="11">
                  <c:v>8.7999999999999972</c:v>
                </c:pt>
                <c:pt idx="12">
                  <c:v>6.5999999999999979</c:v>
                </c:pt>
                <c:pt idx="13">
                  <c:v>4.3999999999999986</c:v>
                </c:pt>
                <c:pt idx="14">
                  <c:v>2.1999999999999957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'Sp2'!$F$12:$AD$12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168704"/>
        <c:axId val="86170240"/>
      </c:lineChart>
      <c:catAx>
        <c:axId val="86168704"/>
        <c:scaling>
          <c:orientation val="minMax"/>
        </c:scaling>
        <c:delete val="1"/>
        <c:axPos val="b"/>
        <c:majorTickMark val="out"/>
        <c:minorTickMark val="none"/>
        <c:tickLblPos val="nextTo"/>
        <c:crossAx val="86170240"/>
        <c:crosses val="autoZero"/>
        <c:auto val="1"/>
        <c:lblAlgn val="ctr"/>
        <c:lblOffset val="100"/>
        <c:noMultiLvlLbl val="0"/>
      </c:catAx>
      <c:valAx>
        <c:axId val="86170240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7655293088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8616870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6782174380104E-3"/>
          <c:y val="6.6176470588235295E-2"/>
          <c:w val="0.11404432040931592"/>
          <c:h val="0.426472132159950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34635691657866"/>
          <c:y val="8.8235610910252865E-2"/>
          <c:w val="0.81942977824709606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'Sp3'!$F$10:$AD$10</c:f>
              <c:numCache>
                <c:formatCode>General</c:formatCode>
                <c:ptCount val="25"/>
                <c:pt idx="0">
                  <c:v>14</c:v>
                </c:pt>
                <c:pt idx="1">
                  <c:v>14</c:v>
                </c:pt>
                <c:pt idx="2">
                  <c:v>13</c:v>
                </c:pt>
                <c:pt idx="3">
                  <c:v>13</c:v>
                </c:pt>
                <c:pt idx="4">
                  <c:v>12</c:v>
                </c:pt>
                <c:pt idx="5">
                  <c:v>10</c:v>
                </c:pt>
                <c:pt idx="6">
                  <c:v>10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5</c:v>
                </c:pt>
                <c:pt idx="11">
                  <c:v>3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2233088"/>
        <c:axId val="92234880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'Sp3'!$F$11:$AD$11</c:f>
              <c:numCache>
                <c:formatCode>General</c:formatCode>
                <c:ptCount val="25"/>
                <c:pt idx="0">
                  <c:v>15</c:v>
                </c:pt>
                <c:pt idx="1">
                  <c:v>14</c:v>
                </c:pt>
                <c:pt idx="2">
                  <c:v>13</c:v>
                </c:pt>
                <c:pt idx="3">
                  <c:v>12</c:v>
                </c:pt>
                <c:pt idx="4">
                  <c:v>11</c:v>
                </c:pt>
                <c:pt idx="5">
                  <c:v>10</c:v>
                </c:pt>
                <c:pt idx="6">
                  <c:v>9</c:v>
                </c:pt>
                <c:pt idx="7">
                  <c:v>8</c:v>
                </c:pt>
                <c:pt idx="8">
                  <c:v>7</c:v>
                </c:pt>
                <c:pt idx="9">
                  <c:v>6</c:v>
                </c:pt>
                <c:pt idx="10">
                  <c:v>5</c:v>
                </c:pt>
                <c:pt idx="11">
                  <c:v>4</c:v>
                </c:pt>
                <c:pt idx="12">
                  <c:v>3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'Sp3'!$F$12:$AD$12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233088"/>
        <c:axId val="92234880"/>
      </c:lineChart>
      <c:catAx>
        <c:axId val="92233088"/>
        <c:scaling>
          <c:orientation val="minMax"/>
        </c:scaling>
        <c:delete val="1"/>
        <c:axPos val="b"/>
        <c:majorTickMark val="out"/>
        <c:minorTickMark val="none"/>
        <c:tickLblPos val="nextTo"/>
        <c:crossAx val="92234880"/>
        <c:crosses val="autoZero"/>
        <c:auto val="1"/>
        <c:lblAlgn val="ctr"/>
        <c:lblOffset val="100"/>
        <c:noMultiLvlLbl val="0"/>
      </c:catAx>
      <c:valAx>
        <c:axId val="92234880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7655293088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9223308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6782174380104E-3"/>
          <c:y val="6.6176470588235295E-2"/>
          <c:w val="0.11404432040931592"/>
          <c:h val="0.426472132159950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Velocidad</a:t>
            </a:r>
          </a:p>
        </c:rich>
      </c:tx>
      <c:layout/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Story points completados</c:v>
          </c:tx>
          <c:invertIfNegative val="0"/>
          <c:cat>
            <c:strRef>
              <c:f>Velocidad!$B$2:$D$2</c:f>
              <c:strCache>
                <c:ptCount val="3"/>
                <c:pt idx="0">
                  <c:v>Sprint 1</c:v>
                </c:pt>
                <c:pt idx="1">
                  <c:v>Sprint 2</c:v>
                </c:pt>
                <c:pt idx="2">
                  <c:v>Sprint 3</c:v>
                </c:pt>
              </c:strCache>
            </c:strRef>
          </c:cat>
          <c:val>
            <c:numRef>
              <c:f>Velocidad!$B$3:$D$3</c:f>
              <c:numCache>
                <c:formatCode>General</c:formatCode>
                <c:ptCount val="3"/>
                <c:pt idx="0">
                  <c:v>11</c:v>
                </c:pt>
                <c:pt idx="1">
                  <c:v>13</c:v>
                </c:pt>
                <c:pt idx="2">
                  <c:v>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92256128"/>
        <c:axId val="92257664"/>
        <c:axId val="0"/>
      </c:bar3DChart>
      <c:catAx>
        <c:axId val="92256128"/>
        <c:scaling>
          <c:orientation val="minMax"/>
        </c:scaling>
        <c:delete val="0"/>
        <c:axPos val="b"/>
        <c:majorTickMark val="out"/>
        <c:minorTickMark val="none"/>
        <c:tickLblPos val="nextTo"/>
        <c:crossAx val="92257664"/>
        <c:crosses val="autoZero"/>
        <c:auto val="1"/>
        <c:lblAlgn val="ctr"/>
        <c:lblOffset val="100"/>
        <c:noMultiLvlLbl val="0"/>
      </c:catAx>
      <c:valAx>
        <c:axId val="92257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22561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Velocity and Remaining Work</a:t>
            </a:r>
          </a:p>
        </c:rich>
      </c:tx>
      <c:layout>
        <c:manualLayout>
          <c:xMode val="edge"/>
          <c:yMode val="edge"/>
          <c:x val="0.20739242298660035"/>
          <c:y val="1.58227848101265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95776413084351E-2"/>
          <c:y val="0.12658247407547046"/>
          <c:w val="0.88295776413084348"/>
          <c:h val="0.76582396815659637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4"/>
                <c:pt idx="0">
                  <c:v>156</c:v>
                </c:pt>
                <c:pt idx="1">
                  <c:v>145</c:v>
                </c:pt>
                <c:pt idx="2">
                  <c:v>132</c:v>
                </c:pt>
                <c:pt idx="3">
                  <c:v>123</c:v>
                </c:pt>
              </c:numCache>
            </c:numRef>
          </c: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4"/>
                <c:pt idx="0">
                  <c:v>156</c:v>
                </c:pt>
                <c:pt idx="1">
                  <c:v>145</c:v>
                </c:pt>
                <c:pt idx="2">
                  <c:v>132</c:v>
                </c:pt>
                <c:pt idx="3">
                  <c:v>123</c:v>
                </c:pt>
              </c:numCache>
            </c:numRef>
          </c:val>
          <c:smooth val="0"/>
        </c:ser>
        <c:ser>
          <c:idx val="5"/>
          <c:order val="2"/>
          <c:tx>
            <c:v>Current bottom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2"/>
          <c:order val="3"/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Trend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3"/>
          <c:order val="5"/>
          <c:tx>
            <c:v>Current Scope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9999FF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marker val="1"/>
        <c:smooth val="0"/>
        <c:axId val="92441600"/>
        <c:axId val="92455680"/>
      </c:lineChart>
      <c:catAx>
        <c:axId val="92441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92455680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924556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9244160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Development Velocity</a:t>
            </a:r>
          </a:p>
        </c:rich>
      </c:tx>
      <c:layout>
        <c:manualLayout>
          <c:xMode val="edge"/>
          <c:yMode val="edge"/>
          <c:x val="0.28131431846881205"/>
          <c:y val="3.4383954154727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349166562225844E-2"/>
          <c:y val="0.13753600904370894"/>
          <c:w val="0.87885098383256044"/>
          <c:h val="0.65043070943587344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4"/>
                <c:pt idx="0">
                  <c:v>11</c:v>
                </c:pt>
                <c:pt idx="1">
                  <c:v>13</c:v>
                </c:pt>
                <c:pt idx="2">
                  <c:v>14</c:v>
                </c:pt>
              </c:numCache>
            </c:numRef>
          </c:val>
        </c:ser>
        <c:ser>
          <c:idx val="0"/>
          <c:order val="1"/>
          <c:tx>
            <c:v>Realized Speed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[0]!RealizedSpeed</c:f>
              <c:numCache>
                <c:formatCode>General</c:formatCode>
                <c:ptCount val="4"/>
                <c:pt idx="0">
                  <c:v>11</c:v>
                </c:pt>
                <c:pt idx="1">
                  <c:v>13</c:v>
                </c:pt>
                <c:pt idx="2">
                  <c:v>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2495872"/>
        <c:axId val="92497408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0,0</c:formatCode>
                <c:ptCount val="4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</c:numCache>
            </c:numRef>
          </c:val>
          <c:smooth val="0"/>
        </c:ser>
        <c:ser>
          <c:idx val="2"/>
          <c:order val="3"/>
          <c:tx>
            <c:v>Avg. Last 8</c:v>
          </c:tx>
          <c:spPr>
            <a:ln w="254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0,0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0,0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495872"/>
        <c:axId val="92497408"/>
      </c:lineChart>
      <c:catAx>
        <c:axId val="92495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92497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92497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9249587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5975330669873165E-2"/>
          <c:y val="0.87392670472064915"/>
          <c:w val="0.85215692865977966"/>
          <c:h val="0.1060171919770773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960576"/>
        <c:axId val="105962112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960576"/>
        <c:axId val="105962112"/>
      </c:lineChart>
      <c:catAx>
        <c:axId val="105960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05962112"/>
        <c:crosses val="autoZero"/>
        <c:auto val="1"/>
        <c:lblAlgn val="ctr"/>
        <c:lblOffset val="100"/>
        <c:noMultiLvlLbl val="0"/>
      </c:catAx>
      <c:valAx>
        <c:axId val="105962112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7655293088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059605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6782174380104E-3"/>
          <c:y val="6.6176470588235295E-2"/>
          <c:w val="0.11404432040931592"/>
          <c:h val="0.426472132159950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409575</xdr:colOff>
          <xdr:row>0</xdr:row>
          <xdr:rowOff>95250</xdr:rowOff>
        </xdr:from>
        <xdr:to>
          <xdr:col>6</xdr:col>
          <xdr:colOff>1238250</xdr:colOff>
          <xdr:row>1</xdr:row>
          <xdr:rowOff>85725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Product Backlog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7485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5</xdr:row>
          <xdr:rowOff>85725</xdr:rowOff>
        </xdr:from>
        <xdr:to>
          <xdr:col>0</xdr:col>
          <xdr:colOff>2009775</xdr:colOff>
          <xdr:row>7</xdr:row>
          <xdr:rowOff>28575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2257425</xdr:colOff>
          <xdr:row>5</xdr:row>
          <xdr:rowOff>85725</xdr:rowOff>
        </xdr:from>
        <xdr:to>
          <xdr:col>2</xdr:col>
          <xdr:colOff>295275</xdr:colOff>
          <xdr:row>7</xdr:row>
          <xdr:rowOff>28575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5</xdr:row>
          <xdr:rowOff>85725</xdr:rowOff>
        </xdr:from>
        <xdr:to>
          <xdr:col>0</xdr:col>
          <xdr:colOff>2009775</xdr:colOff>
          <xdr:row>7</xdr:row>
          <xdr:rowOff>28575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2257425</xdr:colOff>
          <xdr:row>5</xdr:row>
          <xdr:rowOff>85725</xdr:rowOff>
        </xdr:from>
        <xdr:to>
          <xdr:col>2</xdr:col>
          <xdr:colOff>295275</xdr:colOff>
          <xdr:row>7</xdr:row>
          <xdr:rowOff>28575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5</xdr:row>
          <xdr:rowOff>85725</xdr:rowOff>
        </xdr:from>
        <xdr:to>
          <xdr:col>0</xdr:col>
          <xdr:colOff>2009775</xdr:colOff>
          <xdr:row>7</xdr:row>
          <xdr:rowOff>28575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2257425</xdr:colOff>
          <xdr:row>5</xdr:row>
          <xdr:rowOff>85725</xdr:rowOff>
        </xdr:from>
        <xdr:to>
          <xdr:col>2</xdr:col>
          <xdr:colOff>295275</xdr:colOff>
          <xdr:row>7</xdr:row>
          <xdr:rowOff>28575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838200</xdr:colOff>
      <xdr:row>4</xdr:row>
      <xdr:rowOff>23812</xdr:rowOff>
    </xdr:from>
    <xdr:to>
      <xdr:col>6</xdr:col>
      <xdr:colOff>66675</xdr:colOff>
      <xdr:row>21</xdr:row>
      <xdr:rowOff>14287</xdr:rowOff>
    </xdr:to>
    <xdr:graphicFrame macro="">
      <xdr:nvGraphicFramePr>
        <xdr:cNvPr id="2" name="1 Gráfico" title="Velocida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219075</xdr:colOff>
      <xdr:row>1</xdr:row>
      <xdr:rowOff>47625</xdr:rowOff>
    </xdr:from>
    <xdr:to>
      <xdr:col>24</xdr:col>
      <xdr:colOff>676275</xdr:colOff>
      <xdr:row>19</xdr:row>
      <xdr:rowOff>57150</xdr:rowOff>
    </xdr:to>
    <xdr:graphicFrame macro="">
      <xdr:nvGraphicFramePr>
        <xdr:cNvPr id="1857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228600</xdr:colOff>
      <xdr:row>20</xdr:row>
      <xdr:rowOff>47625</xdr:rowOff>
    </xdr:from>
    <xdr:to>
      <xdr:col>24</xdr:col>
      <xdr:colOff>695325</xdr:colOff>
      <xdr:row>39</xdr:row>
      <xdr:rowOff>123825</xdr:rowOff>
    </xdr:to>
    <xdr:graphicFrame macro="">
      <xdr:nvGraphicFramePr>
        <xdr:cNvPr id="18571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41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5</xdr:row>
          <xdr:rowOff>85725</xdr:rowOff>
        </xdr:from>
        <xdr:to>
          <xdr:col>0</xdr:col>
          <xdr:colOff>1724025</xdr:colOff>
          <xdr:row>7</xdr:row>
          <xdr:rowOff>28575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2000250</xdr:colOff>
          <xdr:row>5</xdr:row>
          <xdr:rowOff>85725</xdr:rowOff>
        </xdr:from>
        <xdr:to>
          <xdr:col>2</xdr:col>
          <xdr:colOff>219075</xdr:colOff>
          <xdr:row>7</xdr:row>
          <xdr:rowOff>28575</xdr:rowOff>
        </xdr:to>
        <xdr:sp macro="" textlink="">
          <xdr:nvSpPr>
            <xdr:cNvPr id="14350" name="Button 14" hidden="1">
              <a:extLst>
                <a:ext uri="{63B3BB69-23CF-44E3-9099-C40C66FF867C}">
                  <a14:compatExt spid="_x0000_s143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2</xdr:row>
      <xdr:rowOff>85726</xdr:rowOff>
    </xdr:from>
    <xdr:to>
      <xdr:col>4</xdr:col>
      <xdr:colOff>95250</xdr:colOff>
      <xdr:row>9</xdr:row>
      <xdr:rowOff>19051</xdr:rowOff>
    </xdr:to>
    <xdr:sp macro="" textlink="">
      <xdr:nvSpPr>
        <xdr:cNvPr id="2" name="1 CuadroTexto"/>
        <xdr:cNvSpPr txBox="1"/>
      </xdr:nvSpPr>
      <xdr:spPr>
        <a:xfrm>
          <a:off x="152400" y="523876"/>
          <a:ext cx="2990850" cy="1066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Buena organización </a:t>
          </a:r>
        </a:p>
        <a:p>
          <a:r>
            <a:rPr lang="es-ES" sz="1100"/>
            <a:t>division de tareas</a:t>
          </a:r>
        </a:p>
        <a:p>
          <a:r>
            <a:rPr lang="es-ES" sz="1100"/>
            <a:t>objetivos claros</a:t>
          </a:r>
        </a:p>
        <a:p>
          <a:r>
            <a:rPr lang="es-ES" sz="1100"/>
            <a:t>Buena estimación</a:t>
          </a:r>
        </a:p>
        <a:p>
          <a:r>
            <a:rPr lang="es-ES" sz="1100"/>
            <a:t> Buena comunicación</a:t>
          </a:r>
        </a:p>
        <a:p>
          <a:endParaRPr lang="es-ES" sz="1100"/>
        </a:p>
      </xdr:txBody>
    </xdr:sp>
    <xdr:clientData/>
  </xdr:twoCellAnchor>
  <xdr:twoCellAnchor>
    <xdr:from>
      <xdr:col>0</xdr:col>
      <xdr:colOff>152399</xdr:colOff>
      <xdr:row>11</xdr:row>
      <xdr:rowOff>76200</xdr:rowOff>
    </xdr:from>
    <xdr:to>
      <xdr:col>4</xdr:col>
      <xdr:colOff>104774</xdr:colOff>
      <xdr:row>18</xdr:row>
      <xdr:rowOff>142875</xdr:rowOff>
    </xdr:to>
    <xdr:sp macro="" textlink="">
      <xdr:nvSpPr>
        <xdr:cNvPr id="3" name="2 CuadroTexto"/>
        <xdr:cNvSpPr txBox="1"/>
      </xdr:nvSpPr>
      <xdr:spPr>
        <a:xfrm>
          <a:off x="152399" y="1857375"/>
          <a:ext cx="3000375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Problemas</a:t>
          </a:r>
          <a:r>
            <a:rPr lang="es-ES" sz="1100" baseline="0"/>
            <a:t> con repositorio</a:t>
          </a:r>
        </a:p>
        <a:p>
          <a:r>
            <a:rPr lang="es-ES" sz="1100" baseline="0"/>
            <a:t>No tuvimos en cuenta al prduct owner en cuanto a la eleccion de la interfaz</a:t>
          </a:r>
        </a:p>
        <a:p>
          <a:r>
            <a:rPr lang="es-ES" sz="1100" baseline="0"/>
            <a:t>Falta de documentacion de test cases</a:t>
          </a:r>
        </a:p>
        <a:p>
          <a:endParaRPr lang="es-ES" sz="1100" baseline="0"/>
        </a:p>
        <a:p>
          <a:endParaRPr lang="es-ES" sz="1100" baseline="0"/>
        </a:p>
        <a:p>
          <a:endParaRPr lang="es-ES" sz="1100"/>
        </a:p>
      </xdr:txBody>
    </xdr:sp>
    <xdr:clientData/>
  </xdr:twoCellAnchor>
  <xdr:twoCellAnchor>
    <xdr:from>
      <xdr:col>5</xdr:col>
      <xdr:colOff>104775</xdr:colOff>
      <xdr:row>6</xdr:row>
      <xdr:rowOff>152400</xdr:rowOff>
    </xdr:from>
    <xdr:to>
      <xdr:col>9</xdr:col>
      <xdr:colOff>257175</xdr:colOff>
      <xdr:row>18</xdr:row>
      <xdr:rowOff>104775</xdr:rowOff>
    </xdr:to>
    <xdr:sp macro="" textlink="">
      <xdr:nvSpPr>
        <xdr:cNvPr id="4" name="3 CuadroTexto"/>
        <xdr:cNvSpPr txBox="1"/>
      </xdr:nvSpPr>
      <xdr:spPr>
        <a:xfrm>
          <a:off x="3914775" y="1238250"/>
          <a:ext cx="3200400" cy="1895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 fontAlgn="base"/>
          <a:r>
            <a:rPr lang="es-AR" b="0">
              <a:effectLst/>
            </a:rPr>
            <a:t/>
          </a:r>
          <a:br>
            <a:rPr lang="es-AR" b="0">
              <a:effectLst/>
            </a:rPr>
          </a:br>
          <a:r>
            <a:rPr lang="es-AR" b="0">
              <a:effectLst/>
            </a:rPr>
            <a:t>-</a:t>
          </a:r>
          <a:r>
            <a:rPr lang="es-A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Documentar test cases en google drive</a:t>
          </a:r>
        </a:p>
        <a:p>
          <a:pPr rtl="0" fontAlgn="base"/>
          <a:r>
            <a:rPr lang="es-A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-Enviarle por lo menos un mail al product owner durante el sprint</a:t>
          </a:r>
        </a:p>
        <a:p>
          <a:pPr rtl="0" fontAlgn="base"/>
          <a:r>
            <a:rPr lang="es-A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-Buena práctica: avanzar en las tareas asignadas a diario y desde el primer día del sprint.</a:t>
          </a:r>
        </a:p>
        <a:p>
          <a:pPr rtl="0" fontAlgn="base"/>
          <a:r>
            <a:rPr lang="es-A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Comunicarnos entre los miembros del equipo avisando cuando hacemos modificaciones y en qué parte del programa para evitar conflictos en el repositorio al hacer commit.</a:t>
          </a:r>
        </a:p>
        <a:p>
          <a:endParaRPr lang="es-E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4:I35" totalsRowCount="1" dataDxfId="332" headerRowBorderDxfId="333">
  <autoFilter ref="A4:I34"/>
  <sortState ref="A5:I32">
    <sortCondition ref="H4:H32"/>
  </sortState>
  <tableColumns count="9">
    <tableColumn id="1" name="Story ID" dataDxfId="331" totalsRowDxfId="316"/>
    <tableColumn id="2" name="Story name" dataDxfId="330" totalsRowDxfId="315"/>
    <tableColumn id="3" name="Status" dataDxfId="329" totalsRowDxfId="314"/>
    <tableColumn id="4" name="Size" dataDxfId="328" totalsRowDxfId="313"/>
    <tableColumn id="5" name="Sprint" dataDxfId="327" totalsRowDxfId="312"/>
    <tableColumn id="6" name="Priority" dataDxfId="326" totalsRowDxfId="311"/>
    <tableColumn id="7" name="Description" dataDxfId="325" totalsRowDxfId="310"/>
    <tableColumn id="8" name="Ranking" dataDxfId="324" totalsRowDxfId="309"/>
    <tableColumn id="9" name="Acceptance" dataDxfId="323" totalsRowDxfId="308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3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7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3"/>
    <pageSetUpPr fitToPage="1"/>
  </sheetPr>
  <dimension ref="A1:I55"/>
  <sheetViews>
    <sheetView zoomScaleNormal="100" workbookViewId="0">
      <pane ySplit="4" topLeftCell="A29" activePane="bottomLeft" state="frozen"/>
      <selection activeCell="E25" sqref="E25"/>
      <selection pane="bottomLeft" activeCell="G21" sqref="G21"/>
    </sheetView>
  </sheetViews>
  <sheetFormatPr baseColWidth="10" defaultColWidth="11.42578125" defaultRowHeight="12.75" x14ac:dyDescent="0.2"/>
  <cols>
    <col min="1" max="1" width="10.42578125" style="96" bestFit="1" customWidth="1"/>
    <col min="2" max="2" width="39.28515625" style="97" customWidth="1"/>
    <col min="3" max="3" width="8.85546875" style="96" bestFit="1" customWidth="1"/>
    <col min="4" max="4" width="9.5703125" style="96" bestFit="1" customWidth="1"/>
    <col min="5" max="6" width="11.42578125" style="96" customWidth="1"/>
    <col min="7" max="7" width="63.140625" style="97" bestFit="1" customWidth="1"/>
    <col min="8" max="8" width="11.42578125" style="98"/>
    <col min="9" max="9" width="39.85546875" style="106" customWidth="1"/>
    <col min="10" max="16384" width="11.42578125" style="98"/>
  </cols>
  <sheetData>
    <row r="1" spans="1:9" ht="18" x14ac:dyDescent="0.2">
      <c r="A1" s="128" t="s">
        <v>5</v>
      </c>
      <c r="B1" s="128"/>
      <c r="C1" s="95" t="s">
        <v>72</v>
      </c>
    </row>
    <row r="2" spans="1:9" ht="23.25" x14ac:dyDescent="0.2">
      <c r="A2" s="129" t="s">
        <v>93</v>
      </c>
      <c r="B2" s="129"/>
      <c r="D2" s="99"/>
    </row>
    <row r="4" spans="1:9" ht="13.5" thickBot="1" x14ac:dyDescent="0.25">
      <c r="A4" t="s">
        <v>21</v>
      </c>
      <c r="B4" t="s">
        <v>6</v>
      </c>
      <c r="C4" t="s">
        <v>3</v>
      </c>
      <c r="D4" t="s">
        <v>18</v>
      </c>
      <c r="E4" t="s">
        <v>13</v>
      </c>
      <c r="F4" t="s">
        <v>71</v>
      </c>
      <c r="G4" t="s">
        <v>88</v>
      </c>
      <c r="H4" s="105" t="s">
        <v>91</v>
      </c>
      <c r="I4" s="107" t="s">
        <v>92</v>
      </c>
    </row>
    <row r="5" spans="1:9" x14ac:dyDescent="0.2">
      <c r="E5" s="126" t="s">
        <v>192</v>
      </c>
      <c r="F5" s="100"/>
      <c r="G5" s="110"/>
      <c r="H5" s="96"/>
      <c r="I5" s="109"/>
    </row>
    <row r="6" spans="1:9" ht="60" x14ac:dyDescent="0.2">
      <c r="A6" s="138">
        <v>1</v>
      </c>
      <c r="B6" s="145" t="s">
        <v>94</v>
      </c>
      <c r="C6" s="138" t="s">
        <v>121</v>
      </c>
      <c r="D6" s="138">
        <v>2</v>
      </c>
      <c r="E6" s="138">
        <v>1</v>
      </c>
      <c r="F6" s="140" t="s">
        <v>105</v>
      </c>
      <c r="G6" s="146" t="s">
        <v>97</v>
      </c>
      <c r="H6" s="96"/>
      <c r="I6" s="109" t="s">
        <v>116</v>
      </c>
    </row>
    <row r="7" spans="1:9" ht="84" x14ac:dyDescent="0.2">
      <c r="A7" s="138">
        <v>2</v>
      </c>
      <c r="B7" s="147" t="s">
        <v>95</v>
      </c>
      <c r="C7" s="138"/>
      <c r="D7" s="138">
        <v>2</v>
      </c>
      <c r="E7" s="138">
        <v>1</v>
      </c>
      <c r="F7" s="140" t="s">
        <v>105</v>
      </c>
      <c r="G7" s="146" t="s">
        <v>98</v>
      </c>
      <c r="H7" s="96"/>
      <c r="I7" s="109" t="s">
        <v>102</v>
      </c>
    </row>
    <row r="8" spans="1:9" ht="30" x14ac:dyDescent="0.25">
      <c r="A8" s="138">
        <v>3</v>
      </c>
      <c r="B8" s="148" t="s">
        <v>96</v>
      </c>
      <c r="C8" s="138"/>
      <c r="D8" s="138">
        <v>2</v>
      </c>
      <c r="E8" s="138">
        <v>1</v>
      </c>
      <c r="F8" s="140" t="s">
        <v>106</v>
      </c>
      <c r="G8" s="146" t="s">
        <v>99</v>
      </c>
      <c r="H8" s="96"/>
      <c r="I8" s="109" t="s">
        <v>103</v>
      </c>
    </row>
    <row r="9" spans="1:9" ht="30" x14ac:dyDescent="0.25">
      <c r="A9" s="138">
        <v>4</v>
      </c>
      <c r="B9" s="148" t="s">
        <v>101</v>
      </c>
      <c r="C9" s="138" t="s">
        <v>121</v>
      </c>
      <c r="D9" s="138">
        <v>5</v>
      </c>
      <c r="E9" s="138">
        <v>1</v>
      </c>
      <c r="F9" s="140" t="s">
        <v>107</v>
      </c>
      <c r="G9" s="146" t="s">
        <v>100</v>
      </c>
      <c r="H9" s="96"/>
      <c r="I9" s="109" t="s">
        <v>104</v>
      </c>
    </row>
    <row r="10" spans="1:9" ht="102" x14ac:dyDescent="0.2">
      <c r="A10" s="138">
        <v>5</v>
      </c>
      <c r="B10" s="139" t="s">
        <v>126</v>
      </c>
      <c r="C10" s="138" t="s">
        <v>121</v>
      </c>
      <c r="D10" s="138">
        <v>5</v>
      </c>
      <c r="E10" s="138">
        <v>2</v>
      </c>
      <c r="F10" s="140" t="s">
        <v>105</v>
      </c>
      <c r="G10" s="149" t="s">
        <v>127</v>
      </c>
      <c r="H10" s="96"/>
      <c r="I10" s="114" t="s">
        <v>128</v>
      </c>
    </row>
    <row r="11" spans="1:9" ht="153" x14ac:dyDescent="0.2">
      <c r="A11" s="138">
        <v>6</v>
      </c>
      <c r="B11" s="139" t="s">
        <v>138</v>
      </c>
      <c r="C11" s="138" t="s">
        <v>121</v>
      </c>
      <c r="D11" s="138">
        <v>8</v>
      </c>
      <c r="E11" s="138">
        <v>2</v>
      </c>
      <c r="F11" s="140"/>
      <c r="G11" s="141"/>
      <c r="H11" s="96"/>
      <c r="I11" s="114" t="s">
        <v>149</v>
      </c>
    </row>
    <row r="12" spans="1:9" ht="78" customHeight="1" x14ac:dyDescent="0.25">
      <c r="A12" s="138">
        <v>7</v>
      </c>
      <c r="B12" s="150" t="s">
        <v>145</v>
      </c>
      <c r="C12" s="138" t="s">
        <v>121</v>
      </c>
      <c r="D12" s="138"/>
      <c r="E12" s="138"/>
      <c r="F12" s="140"/>
      <c r="G12" s="151" t="s">
        <v>139</v>
      </c>
      <c r="H12" s="96"/>
      <c r="I12" s="114"/>
    </row>
    <row r="13" spans="1:9" ht="161.25" customHeight="1" x14ac:dyDescent="0.25">
      <c r="A13" s="138">
        <v>8</v>
      </c>
      <c r="B13" s="152" t="s">
        <v>146</v>
      </c>
      <c r="C13" s="138" t="s">
        <v>121</v>
      </c>
      <c r="D13" s="138"/>
      <c r="E13" s="138"/>
      <c r="F13" s="140"/>
      <c r="G13" s="151" t="s">
        <v>140</v>
      </c>
      <c r="H13" s="96"/>
      <c r="I13" s="114"/>
    </row>
    <row r="14" spans="1:9" ht="72" x14ac:dyDescent="0.2">
      <c r="A14" s="138">
        <v>9</v>
      </c>
      <c r="B14" s="147" t="s">
        <v>147</v>
      </c>
      <c r="C14" s="138" t="s">
        <v>121</v>
      </c>
      <c r="D14" s="138"/>
      <c r="E14" s="138"/>
      <c r="F14" s="140"/>
      <c r="G14" s="141" t="s">
        <v>141</v>
      </c>
      <c r="H14" s="96"/>
      <c r="I14" s="109"/>
    </row>
    <row r="15" spans="1:9" ht="75" x14ac:dyDescent="0.25">
      <c r="A15" s="138">
        <v>10</v>
      </c>
      <c r="B15" s="147" t="s">
        <v>148</v>
      </c>
      <c r="C15" s="138" t="s">
        <v>121</v>
      </c>
      <c r="D15" s="138"/>
      <c r="E15" s="138">
        <v>1</v>
      </c>
      <c r="F15" s="140" t="s">
        <v>105</v>
      </c>
      <c r="G15" s="151" t="s">
        <v>142</v>
      </c>
      <c r="H15" s="96"/>
      <c r="I15" s="109"/>
    </row>
    <row r="16" spans="1:9" ht="72" x14ac:dyDescent="0.2">
      <c r="A16" s="138">
        <v>11</v>
      </c>
      <c r="B16" s="139" t="s">
        <v>143</v>
      </c>
      <c r="C16" s="138" t="s">
        <v>121</v>
      </c>
      <c r="D16" s="138"/>
      <c r="E16" s="138">
        <v>2</v>
      </c>
      <c r="F16" s="140" t="s">
        <v>106</v>
      </c>
      <c r="G16" s="141" t="s">
        <v>144</v>
      </c>
      <c r="H16" s="96"/>
      <c r="I16" s="109"/>
    </row>
    <row r="17" spans="1:9" x14ac:dyDescent="0.2">
      <c r="A17" s="138">
        <v>12</v>
      </c>
      <c r="B17" s="139" t="s">
        <v>153</v>
      </c>
      <c r="C17" s="138" t="s">
        <v>121</v>
      </c>
      <c r="D17" s="138">
        <v>1</v>
      </c>
      <c r="E17" s="138">
        <v>3</v>
      </c>
      <c r="F17" s="140" t="s">
        <v>107</v>
      </c>
      <c r="G17" s="141"/>
      <c r="H17" s="96"/>
      <c r="I17" s="109"/>
    </row>
    <row r="18" spans="1:9" x14ac:dyDescent="0.2">
      <c r="A18" s="138">
        <v>13</v>
      </c>
      <c r="B18" s="139" t="s">
        <v>154</v>
      </c>
      <c r="C18" s="138" t="s">
        <v>19</v>
      </c>
      <c r="D18" s="138">
        <v>5</v>
      </c>
      <c r="E18" s="138">
        <v>5</v>
      </c>
      <c r="F18" s="140" t="s">
        <v>106</v>
      </c>
      <c r="G18" s="141"/>
      <c r="H18" s="96"/>
      <c r="I18" s="109"/>
    </row>
    <row r="19" spans="1:9" ht="25.5" x14ac:dyDescent="0.2">
      <c r="A19" s="138">
        <v>14</v>
      </c>
      <c r="B19" s="139" t="s">
        <v>155</v>
      </c>
      <c r="C19" s="138" t="s">
        <v>121</v>
      </c>
      <c r="D19" s="138"/>
      <c r="E19" s="138">
        <v>3</v>
      </c>
      <c r="F19" s="140" t="s">
        <v>105</v>
      </c>
      <c r="G19" s="141"/>
      <c r="H19" s="96"/>
      <c r="I19" s="109"/>
    </row>
    <row r="20" spans="1:9" ht="25.5" x14ac:dyDescent="0.2">
      <c r="A20" s="138">
        <v>16</v>
      </c>
      <c r="B20" s="139" t="s">
        <v>156</v>
      </c>
      <c r="C20" s="138" t="s">
        <v>121</v>
      </c>
      <c r="D20" s="138">
        <v>8</v>
      </c>
      <c r="E20" s="138">
        <v>3</v>
      </c>
      <c r="F20" s="140" t="s">
        <v>105</v>
      </c>
      <c r="G20" s="141"/>
      <c r="H20" s="96"/>
      <c r="I20" s="109"/>
    </row>
    <row r="21" spans="1:9" x14ac:dyDescent="0.2">
      <c r="A21" s="142">
        <v>17</v>
      </c>
      <c r="B21" s="143" t="s">
        <v>157</v>
      </c>
      <c r="C21" s="142" t="s">
        <v>19</v>
      </c>
      <c r="D21" s="142">
        <v>21</v>
      </c>
      <c r="E21" s="144" t="s">
        <v>198</v>
      </c>
      <c r="F21" s="142" t="s">
        <v>105</v>
      </c>
      <c r="G21" s="141"/>
      <c r="H21" s="96"/>
      <c r="I21" s="119"/>
    </row>
    <row r="22" spans="1:9" ht="24" x14ac:dyDescent="0.2">
      <c r="A22" s="142">
        <v>18</v>
      </c>
      <c r="B22" s="143" t="s">
        <v>159</v>
      </c>
      <c r="C22" s="142" t="s">
        <v>19</v>
      </c>
      <c r="D22" s="142">
        <v>8</v>
      </c>
      <c r="E22" s="142">
        <v>8</v>
      </c>
      <c r="F22" s="142" t="s">
        <v>105</v>
      </c>
      <c r="G22" s="141" t="s">
        <v>158</v>
      </c>
      <c r="H22" s="96"/>
      <c r="I22" s="119"/>
    </row>
    <row r="23" spans="1:9" ht="36" x14ac:dyDescent="0.2">
      <c r="A23" s="142">
        <v>19</v>
      </c>
      <c r="B23" s="143" t="s">
        <v>160</v>
      </c>
      <c r="C23" s="142" t="s">
        <v>19</v>
      </c>
      <c r="D23" s="142">
        <v>5</v>
      </c>
      <c r="E23" s="142">
        <v>7</v>
      </c>
      <c r="F23" s="142" t="s">
        <v>105</v>
      </c>
      <c r="G23" s="141" t="s">
        <v>161</v>
      </c>
      <c r="H23" s="96"/>
      <c r="I23" s="119"/>
    </row>
    <row r="24" spans="1:9" ht="36" x14ac:dyDescent="0.2">
      <c r="A24" s="142">
        <v>20</v>
      </c>
      <c r="B24" s="143" t="s">
        <v>162</v>
      </c>
      <c r="C24" s="142" t="s">
        <v>19</v>
      </c>
      <c r="D24" s="142">
        <v>13</v>
      </c>
      <c r="E24" s="142">
        <v>11.12</v>
      </c>
      <c r="F24" s="142" t="s">
        <v>182</v>
      </c>
      <c r="G24" s="141" t="s">
        <v>163</v>
      </c>
      <c r="H24" s="96"/>
      <c r="I24" s="119"/>
    </row>
    <row r="25" spans="1:9" ht="36" x14ac:dyDescent="0.2">
      <c r="A25" s="142">
        <v>21</v>
      </c>
      <c r="B25" s="143" t="s">
        <v>164</v>
      </c>
      <c r="C25" s="142" t="s">
        <v>19</v>
      </c>
      <c r="D25" s="142">
        <v>8</v>
      </c>
      <c r="E25" s="142">
        <v>9</v>
      </c>
      <c r="F25" s="142" t="s">
        <v>105</v>
      </c>
      <c r="G25" s="141" t="s">
        <v>165</v>
      </c>
      <c r="H25" s="96"/>
      <c r="I25" s="119"/>
    </row>
    <row r="26" spans="1:9" ht="24" x14ac:dyDescent="0.2">
      <c r="A26" s="142">
        <v>22</v>
      </c>
      <c r="B26" s="143" t="s">
        <v>166</v>
      </c>
      <c r="C26" s="142" t="s">
        <v>19</v>
      </c>
      <c r="D26" s="142">
        <v>3</v>
      </c>
      <c r="E26" s="142">
        <v>16</v>
      </c>
      <c r="F26" s="142" t="s">
        <v>183</v>
      </c>
      <c r="G26" s="141" t="s">
        <v>167</v>
      </c>
      <c r="H26" s="96"/>
      <c r="I26" s="119"/>
    </row>
    <row r="27" spans="1:9" ht="24" x14ac:dyDescent="0.2">
      <c r="A27" s="142">
        <v>23</v>
      </c>
      <c r="B27" s="143" t="s">
        <v>168</v>
      </c>
      <c r="C27" s="142" t="s">
        <v>19</v>
      </c>
      <c r="D27" s="142">
        <v>5</v>
      </c>
      <c r="E27" s="142">
        <v>10</v>
      </c>
      <c r="F27" s="142" t="s">
        <v>105</v>
      </c>
      <c r="G27" s="141" t="s">
        <v>169</v>
      </c>
      <c r="H27" s="96"/>
      <c r="I27" s="119"/>
    </row>
    <row r="28" spans="1:9" ht="24" x14ac:dyDescent="0.2">
      <c r="A28" s="142">
        <v>24</v>
      </c>
      <c r="B28" s="143" t="s">
        <v>170</v>
      </c>
      <c r="C28" s="142" t="s">
        <v>19</v>
      </c>
      <c r="D28" s="142">
        <v>5</v>
      </c>
      <c r="E28" s="142">
        <v>12</v>
      </c>
      <c r="F28" s="142" t="s">
        <v>182</v>
      </c>
      <c r="G28" s="141" t="s">
        <v>171</v>
      </c>
      <c r="H28" s="96"/>
      <c r="I28" s="119"/>
    </row>
    <row r="29" spans="1:9" ht="36" x14ac:dyDescent="0.2">
      <c r="A29" s="142">
        <v>25</v>
      </c>
      <c r="B29" s="143" t="s">
        <v>172</v>
      </c>
      <c r="C29" s="142" t="s">
        <v>19</v>
      </c>
      <c r="D29" s="142">
        <v>3</v>
      </c>
      <c r="E29" s="142">
        <v>13</v>
      </c>
      <c r="F29" s="142" t="s">
        <v>182</v>
      </c>
      <c r="G29" s="141" t="s">
        <v>173</v>
      </c>
      <c r="H29" s="96"/>
      <c r="I29" s="119"/>
    </row>
    <row r="30" spans="1:9" ht="36" x14ac:dyDescent="0.2">
      <c r="A30" s="142">
        <v>26</v>
      </c>
      <c r="B30" s="143" t="s">
        <v>174</v>
      </c>
      <c r="C30" s="142" t="s">
        <v>19</v>
      </c>
      <c r="D30" s="142">
        <v>8</v>
      </c>
      <c r="E30" s="142">
        <v>15</v>
      </c>
      <c r="F30" s="142" t="s">
        <v>182</v>
      </c>
      <c r="G30" s="141" t="s">
        <v>175</v>
      </c>
      <c r="H30" s="96"/>
      <c r="I30" s="119"/>
    </row>
    <row r="31" spans="1:9" ht="36" x14ac:dyDescent="0.2">
      <c r="A31" s="142">
        <v>27</v>
      </c>
      <c r="B31" s="143" t="s">
        <v>176</v>
      </c>
      <c r="C31" s="142" t="s">
        <v>19</v>
      </c>
      <c r="D31" s="142">
        <v>5</v>
      </c>
      <c r="E31" s="142">
        <v>10</v>
      </c>
      <c r="F31" s="142" t="s">
        <v>105</v>
      </c>
      <c r="G31" s="141" t="s">
        <v>177</v>
      </c>
      <c r="H31" s="96"/>
      <c r="I31" s="119"/>
    </row>
    <row r="32" spans="1:9" ht="36" x14ac:dyDescent="0.2">
      <c r="A32" s="142">
        <v>29</v>
      </c>
      <c r="B32" s="143" t="s">
        <v>180</v>
      </c>
      <c r="C32" s="142" t="s">
        <v>19</v>
      </c>
      <c r="D32" s="142">
        <v>21</v>
      </c>
      <c r="E32" s="142">
        <v>17.18</v>
      </c>
      <c r="F32" s="142" t="s">
        <v>183</v>
      </c>
      <c r="G32" s="141" t="s">
        <v>181</v>
      </c>
      <c r="H32" s="96"/>
      <c r="I32" s="119"/>
    </row>
    <row r="33" spans="1:9" ht="24" x14ac:dyDescent="0.2">
      <c r="A33" s="142">
        <v>28</v>
      </c>
      <c r="B33" s="143" t="s">
        <v>178</v>
      </c>
      <c r="C33" s="142" t="s">
        <v>19</v>
      </c>
      <c r="D33" s="142">
        <v>13</v>
      </c>
      <c r="E33" s="142">
        <v>14</v>
      </c>
      <c r="F33" s="142" t="s">
        <v>182</v>
      </c>
      <c r="G33" s="141" t="s">
        <v>179</v>
      </c>
      <c r="H33" s="96"/>
      <c r="I33" s="119"/>
    </row>
    <row r="34" spans="1:9" x14ac:dyDescent="0.2">
      <c r="A34" s="142">
        <v>30</v>
      </c>
      <c r="B34" s="143" t="s">
        <v>191</v>
      </c>
      <c r="C34" s="142" t="s">
        <v>19</v>
      </c>
      <c r="D34" s="142">
        <v>3</v>
      </c>
      <c r="E34" s="142">
        <v>16</v>
      </c>
      <c r="F34" s="142" t="s">
        <v>182</v>
      </c>
      <c r="G34" s="141"/>
      <c r="H34" s="96"/>
      <c r="I34" s="119"/>
    </row>
    <row r="35" spans="1:9" x14ac:dyDescent="0.2">
      <c r="G35" s="110"/>
      <c r="H35" s="96"/>
      <c r="I35" s="119"/>
    </row>
    <row r="39" spans="1:9" x14ac:dyDescent="0.2">
      <c r="I39" s="108"/>
    </row>
    <row r="44" spans="1:9" x14ac:dyDescent="0.2">
      <c r="G44" s="101"/>
    </row>
    <row r="55" spans="1:6" x14ac:dyDescent="0.2">
      <c r="A55" s="98"/>
      <c r="B55" s="98"/>
      <c r="C55" s="98"/>
      <c r="D55" s="98"/>
      <c r="E55" s="98"/>
      <c r="F55" s="98"/>
    </row>
  </sheetData>
  <mergeCells count="2">
    <mergeCell ref="A1:B1"/>
    <mergeCell ref="A2:B2"/>
  </mergeCells>
  <phoneticPr fontId="2" type="noConversion"/>
  <conditionalFormatting sqref="G46:G54 C47:C48 G14 B35:F46 A56:G165 B49:F54 A5:G5 B10:B11 H10 H12:H13 B16:B17 H5:I9 H14:I20 B20 C6:F20 A6:A20 A35:A54 G16:G20 G34:G43 G21:I33">
    <cfRule type="expression" dxfId="287" priority="40" stopIfTrue="1">
      <formula>$C5="Done"</formula>
    </cfRule>
    <cfRule type="expression" dxfId="286" priority="41" stopIfTrue="1">
      <formula>$C5="Ongoing"</formula>
    </cfRule>
    <cfRule type="expression" dxfId="285" priority="42" stopIfTrue="1">
      <formula>$C5="Removed"</formula>
    </cfRule>
  </conditionalFormatting>
  <conditionalFormatting sqref="G55">
    <cfRule type="expression" dxfId="284" priority="43" stopIfTrue="1">
      <formula>$C45="Done"</formula>
    </cfRule>
    <cfRule type="expression" dxfId="283" priority="44" stopIfTrue="1">
      <formula>$C45="Ongoing"</formula>
    </cfRule>
    <cfRule type="expression" dxfId="282" priority="45" stopIfTrue="1">
      <formula>$C45="Removed"</formula>
    </cfRule>
  </conditionalFormatting>
  <conditionalFormatting sqref="G44:G45">
    <cfRule type="expression" dxfId="281" priority="46" stopIfTrue="1">
      <formula>#REF!="Done"</formula>
    </cfRule>
    <cfRule type="expression" dxfId="280" priority="47" stopIfTrue="1">
      <formula>#REF!="Ongoing"</formula>
    </cfRule>
    <cfRule type="expression" dxfId="279" priority="48" stopIfTrue="1">
      <formula>#REF!="Removed"</formula>
    </cfRule>
  </conditionalFormatting>
  <conditionalFormatting sqref="G11:H11">
    <cfRule type="expression" dxfId="278" priority="49" stopIfTrue="1">
      <formula>#REF!="Done"</formula>
    </cfRule>
    <cfRule type="expression" dxfId="277" priority="50" stopIfTrue="1">
      <formula>#REF!="Ongoing"</formula>
    </cfRule>
    <cfRule type="expression" dxfId="276" priority="51" stopIfTrue="1">
      <formula>#REF!="Removed"</formula>
    </cfRule>
  </conditionalFormatting>
  <conditionalFormatting sqref="B18">
    <cfRule type="expression" dxfId="275" priority="95" stopIfTrue="1">
      <formula>$C19="Done"</formula>
    </cfRule>
    <cfRule type="expression" dxfId="274" priority="96" stopIfTrue="1">
      <formula>$C19="Ongoing"</formula>
    </cfRule>
    <cfRule type="expression" dxfId="273" priority="97" stopIfTrue="1">
      <formula>$C19="Removed"</formula>
    </cfRule>
  </conditionalFormatting>
  <conditionalFormatting sqref="H34:I34">
    <cfRule type="expression" dxfId="272" priority="114" stopIfTrue="1">
      <formula>#REF!="Done"</formula>
    </cfRule>
    <cfRule type="expression" dxfId="271" priority="115" stopIfTrue="1">
      <formula>#REF!="Ongoing"</formula>
    </cfRule>
    <cfRule type="expression" dxfId="270" priority="116" stopIfTrue="1">
      <formula>#REF!="Removed"</formula>
    </cfRule>
  </conditionalFormatting>
  <conditionalFormatting sqref="A21:F34">
    <cfRule type="expression" dxfId="269" priority="1" stopIfTrue="1">
      <formula>$C21="Done"</formula>
    </cfRule>
    <cfRule type="expression" dxfId="268" priority="2" stopIfTrue="1">
      <formula>$C21="Ongoing"</formula>
    </cfRule>
    <cfRule type="expression" dxfId="267" priority="3" stopIfTrue="1">
      <formula>$C21="Removed"</formula>
    </cfRule>
  </conditionalFormatting>
  <dataValidations count="1">
    <dataValidation type="list" allowBlank="1" showInputMessage="1" sqref="C56:C165 C36:C54 C4:C34">
      <formula1>"Planned,Ongoing,Done,Removed"</formula1>
    </dataValidation>
  </dataValidations>
  <pageMargins left="0.75" right="0.75" top="1" bottom="1" header="0.5" footer="0.5"/>
  <pageSetup paperSize="9" scale="8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SortProductBacklog">
                <anchor>
                  <from>
                    <xdr:col>4</xdr:col>
                    <xdr:colOff>409575</xdr:colOff>
                    <xdr:row>0</xdr:row>
                    <xdr:rowOff>95250</xdr:rowOff>
                  </from>
                  <to>
                    <xdr:col>6</xdr:col>
                    <xdr:colOff>1238250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</sheetPr>
  <dimension ref="A1:J31"/>
  <sheetViews>
    <sheetView workbookViewId="0">
      <selection activeCell="E31" sqref="E31"/>
    </sheetView>
  </sheetViews>
  <sheetFormatPr baseColWidth="10" defaultColWidth="11.42578125" defaultRowHeight="12.75" x14ac:dyDescent="0.2"/>
  <cols>
    <col min="1" max="1" width="7.85546875" customWidth="1"/>
    <col min="2" max="2" width="10.42578125" customWidth="1"/>
    <col min="3" max="3" width="9.5703125" customWidth="1"/>
    <col min="4" max="5" width="10.7109375" customWidth="1"/>
    <col min="6" max="6" width="9.140625" customWidth="1"/>
    <col min="7" max="7" width="13.7109375" style="2" customWidth="1"/>
    <col min="8" max="8" width="59.140625" customWidth="1"/>
    <col min="9" max="9" width="10.7109375" customWidth="1"/>
  </cols>
  <sheetData>
    <row r="1" spans="1:10" ht="18" x14ac:dyDescent="0.25">
      <c r="A1" s="15" t="s">
        <v>15</v>
      </c>
    </row>
    <row r="3" spans="1:10" x14ac:dyDescent="0.2">
      <c r="A3" s="9" t="s">
        <v>16</v>
      </c>
      <c r="B3" s="43" t="s">
        <v>1</v>
      </c>
      <c r="C3" s="44" t="s">
        <v>29</v>
      </c>
      <c r="D3" s="44" t="s">
        <v>2</v>
      </c>
      <c r="E3" s="43" t="s">
        <v>18</v>
      </c>
      <c r="F3" s="10" t="s">
        <v>3</v>
      </c>
      <c r="G3" s="43" t="s">
        <v>4</v>
      </c>
      <c r="H3" s="11" t="s">
        <v>0</v>
      </c>
      <c r="I3" s="1"/>
      <c r="J3" s="1"/>
    </row>
    <row r="4" spans="1:10" x14ac:dyDescent="0.2">
      <c r="A4" s="12"/>
      <c r="B4" s="42" t="str">
        <f>IF(OR(B16="",A4=""),"",B16)</f>
        <v/>
      </c>
      <c r="C4" s="25" t="str">
        <f t="shared" ref="C4:C10" si="0">IF(A4="","",SUMIF(I$16:I$30,A4,C$16:C$30))</f>
        <v/>
      </c>
      <c r="D4" s="42" t="str">
        <f>IF(OR(B4="",C4=""),"",B4+C4-1)</f>
        <v/>
      </c>
      <c r="E4" s="22" t="str">
        <f>IF(A4="","",SUMIF(I$16:I$30,'Release Plan1'!A4,E$16:E$30))</f>
        <v/>
      </c>
      <c r="F4" s="4"/>
      <c r="G4" s="45"/>
      <c r="H4" s="6"/>
    </row>
    <row r="5" spans="1:10" x14ac:dyDescent="0.2">
      <c r="A5" s="13"/>
      <c r="B5" s="39" t="str">
        <f>IF(A5="","",B4+C4)</f>
        <v/>
      </c>
      <c r="C5" s="22" t="str">
        <f t="shared" si="0"/>
        <v/>
      </c>
      <c r="D5" s="39" t="str">
        <f t="shared" ref="D5:D10" si="1">IF(OR(B5="",C5=""),"",B5+C5-1)</f>
        <v/>
      </c>
      <c r="E5" s="22" t="str">
        <f>IF(A5="","",SUMIF(I$16:I$30,'Release Plan1'!A5,E$16:E$30))</f>
        <v/>
      </c>
      <c r="F5" s="4"/>
      <c r="G5" s="46"/>
      <c r="H5" s="7"/>
    </row>
    <row r="6" spans="1:10" x14ac:dyDescent="0.2">
      <c r="A6" s="13"/>
      <c r="B6" s="39"/>
      <c r="C6" s="22" t="str">
        <f t="shared" si="0"/>
        <v/>
      </c>
      <c r="D6" s="39" t="str">
        <f t="shared" si="1"/>
        <v/>
      </c>
      <c r="E6" s="22" t="str">
        <f>IF(A6="","",SUMIF(I$16:I$30,'Release Plan1'!A6,E$16:E$30))</f>
        <v/>
      </c>
      <c r="F6" s="4"/>
      <c r="G6" s="46"/>
      <c r="H6" s="7"/>
    </row>
    <row r="7" spans="1:10" x14ac:dyDescent="0.2">
      <c r="A7" s="13"/>
      <c r="B7" s="39"/>
      <c r="C7" s="22" t="str">
        <f t="shared" si="0"/>
        <v/>
      </c>
      <c r="D7" s="39" t="str">
        <f t="shared" si="1"/>
        <v/>
      </c>
      <c r="E7" s="22" t="str">
        <f>IF(A7="","",SUMIF(I$16:I$30,'Release Plan1'!A7,E$16:E$30))</f>
        <v/>
      </c>
      <c r="F7" s="4"/>
      <c r="G7" s="46"/>
      <c r="H7" s="7"/>
    </row>
    <row r="8" spans="1:10" x14ac:dyDescent="0.2">
      <c r="A8" s="13"/>
      <c r="B8" s="39"/>
      <c r="C8" s="22" t="str">
        <f t="shared" si="0"/>
        <v/>
      </c>
      <c r="D8" s="39" t="str">
        <f t="shared" si="1"/>
        <v/>
      </c>
      <c r="E8" s="22" t="str">
        <f>IF(A8="","",SUMIF(I$16:I$30,'Release Plan1'!A8,E$16:E$30))</f>
        <v/>
      </c>
      <c r="F8" s="4"/>
      <c r="G8" s="46"/>
      <c r="H8" s="7"/>
    </row>
    <row r="9" spans="1:10" x14ac:dyDescent="0.2">
      <c r="A9" s="13"/>
      <c r="B9" s="39"/>
      <c r="C9" s="22" t="str">
        <f t="shared" si="0"/>
        <v/>
      </c>
      <c r="D9" s="39" t="str">
        <f t="shared" si="1"/>
        <v/>
      </c>
      <c r="E9" s="22" t="str">
        <f>IF(A9="","",SUMIF(I$16:I$30,'Release Plan1'!A9,E$16:E$30))</f>
        <v/>
      </c>
      <c r="F9" s="4"/>
      <c r="G9" s="46"/>
      <c r="H9" s="7"/>
    </row>
    <row r="10" spans="1:10" x14ac:dyDescent="0.2">
      <c r="A10" s="14"/>
      <c r="B10" s="40"/>
      <c r="C10" s="41" t="str">
        <f t="shared" si="0"/>
        <v/>
      </c>
      <c r="D10" s="40" t="str">
        <f t="shared" si="1"/>
        <v/>
      </c>
      <c r="E10" s="41" t="str">
        <f>IF(A10="","",SUMIF(I$16:I$30,'Release Plan1'!A10,E$16:E$30))</f>
        <v/>
      </c>
      <c r="F10" s="5"/>
      <c r="G10" s="47"/>
      <c r="H10" s="8"/>
    </row>
    <row r="11" spans="1:10" x14ac:dyDescent="0.2">
      <c r="A11" s="36" t="s">
        <v>30</v>
      </c>
    </row>
    <row r="13" spans="1:10" ht="18" x14ac:dyDescent="0.25">
      <c r="A13" s="15" t="s">
        <v>14</v>
      </c>
      <c r="C13" s="111" t="s">
        <v>184</v>
      </c>
    </row>
    <row r="15" spans="1:10" x14ac:dyDescent="0.2">
      <c r="A15" s="9" t="s">
        <v>13</v>
      </c>
      <c r="B15" s="43" t="s">
        <v>1</v>
      </c>
      <c r="C15" s="43" t="s">
        <v>29</v>
      </c>
      <c r="D15" s="43" t="s">
        <v>2</v>
      </c>
      <c r="E15" s="43" t="s">
        <v>18</v>
      </c>
      <c r="F15" s="10" t="s">
        <v>3</v>
      </c>
      <c r="G15" s="43" t="s">
        <v>4</v>
      </c>
      <c r="H15" s="71" t="s">
        <v>0</v>
      </c>
      <c r="I15" s="49" t="s">
        <v>31</v>
      </c>
      <c r="J15" s="1"/>
    </row>
    <row r="16" spans="1:10" x14ac:dyDescent="0.2">
      <c r="A16" s="22">
        <v>5</v>
      </c>
      <c r="B16" s="72">
        <v>42184</v>
      </c>
      <c r="C16" s="27">
        <v>14</v>
      </c>
      <c r="D16" s="26">
        <f t="shared" ref="D16:D30" si="2">IF(AND(B16&lt;&gt;"",C16&lt;&gt;""),B16+C16-1,"")</f>
        <v>42197</v>
      </c>
      <c r="E16" s="22">
        <v>9</v>
      </c>
      <c r="F16" s="4" t="s">
        <v>19</v>
      </c>
      <c r="G16" s="27"/>
      <c r="H16" s="121">
        <v>17</v>
      </c>
      <c r="I16" s="70"/>
    </row>
    <row r="17" spans="1:9" x14ac:dyDescent="0.2">
      <c r="A17" s="22">
        <v>6</v>
      </c>
      <c r="B17" s="72">
        <v>42198</v>
      </c>
      <c r="C17" s="27">
        <v>14</v>
      </c>
      <c r="D17" s="26">
        <f t="shared" ref="D17" si="3">IF(AND(B17&lt;&gt;"",C17&lt;&gt;""),B17+C17-1,"")</f>
        <v>42211</v>
      </c>
      <c r="E17" s="22">
        <v>9</v>
      </c>
      <c r="F17" s="4" t="s">
        <v>19</v>
      </c>
      <c r="G17" s="27"/>
      <c r="H17" s="122">
        <v>17</v>
      </c>
      <c r="I17" s="70"/>
    </row>
    <row r="18" spans="1:9" x14ac:dyDescent="0.2">
      <c r="A18" s="22">
        <v>7</v>
      </c>
      <c r="B18" s="72">
        <v>42212</v>
      </c>
      <c r="C18" s="27">
        <v>14</v>
      </c>
      <c r="D18" s="26">
        <f t="shared" ref="D18:D19" si="4">IF(AND(B18&lt;&gt;"",C18&lt;&gt;""),B18+C18-1,"")</f>
        <v>42225</v>
      </c>
      <c r="E18" s="22">
        <v>8</v>
      </c>
      <c r="F18" s="4" t="s">
        <v>19</v>
      </c>
      <c r="G18" s="27"/>
      <c r="H18" s="122">
        <v>17.190000000000001</v>
      </c>
      <c r="I18" s="70"/>
    </row>
    <row r="19" spans="1:9" x14ac:dyDescent="0.2">
      <c r="A19" s="22">
        <v>8</v>
      </c>
      <c r="B19" s="72">
        <v>42226</v>
      </c>
      <c r="C19" s="27">
        <v>12</v>
      </c>
      <c r="D19" s="26">
        <f t="shared" si="4"/>
        <v>42237</v>
      </c>
      <c r="E19" s="22">
        <v>8</v>
      </c>
      <c r="F19" s="4" t="s">
        <v>19</v>
      </c>
      <c r="G19" s="72"/>
      <c r="H19" s="122">
        <v>18</v>
      </c>
      <c r="I19" s="70"/>
    </row>
    <row r="20" spans="1:9" x14ac:dyDescent="0.2">
      <c r="A20" s="22"/>
      <c r="B20" s="26" t="str">
        <f>IF(AND(B19&lt;&gt;"",C19&lt;&gt;"",C20&lt;&gt;""),B19+C19,"")</f>
        <v/>
      </c>
      <c r="C20" s="27"/>
      <c r="D20" s="26" t="str">
        <f>IF(AND(B20&lt;&gt;"",C20&lt;&gt;""),B20+C20-1,"")</f>
        <v/>
      </c>
      <c r="E20" s="22" t="str">
        <f>IF(A20="","",SUMIF('Product Backlog'!E$5:E$105,'Release Plan1'!A20,'Product Backlog'!D$5:D$105))</f>
        <v/>
      </c>
      <c r="F20" s="4" t="str">
        <f>IF(AND(OR(F19="Planned",F19="Ongoing"),C20&lt;&gt;""),"Planned","Unplanned")</f>
        <v>Unplanned</v>
      </c>
      <c r="G20" s="27"/>
      <c r="H20" s="28"/>
      <c r="I20" s="37"/>
    </row>
    <row r="21" spans="1:9" x14ac:dyDescent="0.2">
      <c r="A21" s="22"/>
      <c r="B21" s="26" t="str">
        <f>IF(AND(B20&lt;&gt;"",C20&lt;&gt;"",C21&lt;&gt;""),B20+C20,"")</f>
        <v/>
      </c>
      <c r="C21" s="27"/>
      <c r="D21" s="26" t="str">
        <f>IF(AND(B21&lt;&gt;"",C21&lt;&gt;""),B21+C21-1,"")</f>
        <v/>
      </c>
      <c r="E21" s="22" t="str">
        <f>IF(A21="","",SUMIF('Product Backlog'!E$5:E$105,'Release Plan1'!A21,'Product Backlog'!D$5:D$105))</f>
        <v/>
      </c>
      <c r="F21" s="4" t="str">
        <f>IF(AND(OR(F20="Planned",F20="Ongoing"),C21&lt;&gt;""),"Planned","Unplanned")</f>
        <v>Unplanned</v>
      </c>
      <c r="G21" s="27"/>
      <c r="H21" s="28"/>
      <c r="I21" s="37"/>
    </row>
    <row r="22" spans="1:9" x14ac:dyDescent="0.2">
      <c r="A22" s="22" t="str">
        <f t="shared" ref="A22:A30" si="5">IF(AND(B22&lt;&gt;"",C22&lt;&gt;""),A21+1,"")</f>
        <v/>
      </c>
      <c r="B22" s="26" t="str">
        <f t="shared" ref="B22:B30" si="6">IF(AND(B21&lt;&gt;"",C21&lt;&gt;"",C22&lt;&gt;""),B21+C21,"")</f>
        <v/>
      </c>
      <c r="C22" s="27"/>
      <c r="D22" s="26" t="str">
        <f t="shared" si="2"/>
        <v/>
      </c>
      <c r="E22" s="22" t="str">
        <f>IF(A22="","",SUMIF('Product Backlog'!E$6:E$105,'Release Plan1'!A22,'Product Backlog'!D$6:D$105))</f>
        <v/>
      </c>
      <c r="F22" s="4" t="str">
        <f t="shared" ref="F22:F30" si="7">IF(AND(OR(F21="Planned",F21="Ongoing"),C22&lt;&gt;""),"Planned","Unplanned")</f>
        <v>Unplanned</v>
      </c>
      <c r="G22" s="27"/>
      <c r="H22" s="28"/>
      <c r="I22" s="37"/>
    </row>
    <row r="23" spans="1:9" x14ac:dyDescent="0.2">
      <c r="A23" s="22" t="str">
        <f t="shared" si="5"/>
        <v/>
      </c>
      <c r="B23" s="26" t="str">
        <f t="shared" si="6"/>
        <v/>
      </c>
      <c r="C23" s="27"/>
      <c r="D23" s="26" t="str">
        <f t="shared" si="2"/>
        <v/>
      </c>
      <c r="E23" s="22" t="str">
        <f>IF(A23="","",SUMIF('Product Backlog'!E$6:E$105,'Release Plan1'!A23,'Product Backlog'!D$6:D$105))</f>
        <v/>
      </c>
      <c r="F23" s="4" t="str">
        <f t="shared" si="7"/>
        <v>Unplanned</v>
      </c>
      <c r="G23" s="27"/>
      <c r="H23" s="28"/>
      <c r="I23" s="37"/>
    </row>
    <row r="24" spans="1:9" x14ac:dyDescent="0.2">
      <c r="A24" s="22" t="str">
        <f t="shared" si="5"/>
        <v/>
      </c>
      <c r="B24" s="26" t="str">
        <f t="shared" si="6"/>
        <v/>
      </c>
      <c r="C24" s="27"/>
      <c r="D24" s="26" t="str">
        <f t="shared" si="2"/>
        <v/>
      </c>
      <c r="E24" s="22" t="str">
        <f>IF(A24="","",SUMIF('Product Backlog'!E$6:E$105,'Release Plan1'!A24,'Product Backlog'!D$6:D$105))</f>
        <v/>
      </c>
      <c r="F24" s="4" t="str">
        <f t="shared" si="7"/>
        <v>Unplanned</v>
      </c>
      <c r="G24" s="27"/>
      <c r="H24" s="28"/>
      <c r="I24" s="37"/>
    </row>
    <row r="25" spans="1:9" x14ac:dyDescent="0.2">
      <c r="A25" s="22" t="str">
        <f t="shared" si="5"/>
        <v/>
      </c>
      <c r="B25" s="26" t="str">
        <f t="shared" si="6"/>
        <v/>
      </c>
      <c r="C25" s="27"/>
      <c r="D25" s="26" t="str">
        <f t="shared" si="2"/>
        <v/>
      </c>
      <c r="E25" s="22" t="str">
        <f>IF(A25="","",SUMIF('Product Backlog'!E$6:E$105,'Release Plan1'!A25,'Product Backlog'!D$6:D$105))</f>
        <v/>
      </c>
      <c r="F25" s="4" t="str">
        <f t="shared" si="7"/>
        <v>Unplanned</v>
      </c>
      <c r="G25" s="27"/>
      <c r="H25" s="28"/>
      <c r="I25" s="37"/>
    </row>
    <row r="26" spans="1:9" x14ac:dyDescent="0.2">
      <c r="A26" s="22" t="str">
        <f t="shared" si="5"/>
        <v/>
      </c>
      <c r="B26" s="26" t="str">
        <f t="shared" si="6"/>
        <v/>
      </c>
      <c r="C26" s="27"/>
      <c r="D26" s="26" t="str">
        <f t="shared" si="2"/>
        <v/>
      </c>
      <c r="E26" s="22" t="str">
        <f>IF(A26="","",SUMIF('Product Backlog'!E$6:E$105,'Release Plan1'!A26,'Product Backlog'!D$6:D$105))</f>
        <v/>
      </c>
      <c r="F26" s="4" t="str">
        <f t="shared" si="7"/>
        <v>Unplanned</v>
      </c>
      <c r="G26" s="27"/>
      <c r="H26" s="28"/>
      <c r="I26" s="37"/>
    </row>
    <row r="27" spans="1:9" x14ac:dyDescent="0.2">
      <c r="A27" s="22" t="str">
        <f t="shared" si="5"/>
        <v/>
      </c>
      <c r="B27" s="26" t="str">
        <f t="shared" si="6"/>
        <v/>
      </c>
      <c r="C27" s="27"/>
      <c r="D27" s="26" t="str">
        <f t="shared" si="2"/>
        <v/>
      </c>
      <c r="E27" s="22" t="str">
        <f>IF(A27="","",SUMIF('Product Backlog'!E$6:E$105,'Release Plan1'!A27,'Product Backlog'!D$6:D$105))</f>
        <v/>
      </c>
      <c r="F27" s="4" t="str">
        <f t="shared" si="7"/>
        <v>Unplanned</v>
      </c>
      <c r="G27" s="27"/>
      <c r="H27" s="28"/>
      <c r="I27" s="37"/>
    </row>
    <row r="28" spans="1:9" x14ac:dyDescent="0.2">
      <c r="A28" s="22" t="str">
        <f t="shared" si="5"/>
        <v/>
      </c>
      <c r="B28" s="26" t="str">
        <f t="shared" si="6"/>
        <v/>
      </c>
      <c r="C28" s="27"/>
      <c r="D28" s="26" t="str">
        <f t="shared" si="2"/>
        <v/>
      </c>
      <c r="E28" s="22" t="str">
        <f>IF(A28="","",SUMIF('Product Backlog'!E$6:E$105,'Release Plan1'!A28,'Product Backlog'!D$6:D$105))</f>
        <v/>
      </c>
      <c r="F28" s="4" t="str">
        <f t="shared" si="7"/>
        <v>Unplanned</v>
      </c>
      <c r="G28" s="27"/>
      <c r="H28" s="28"/>
      <c r="I28" s="37"/>
    </row>
    <row r="29" spans="1:9" x14ac:dyDescent="0.2">
      <c r="A29" s="22" t="str">
        <f t="shared" si="5"/>
        <v/>
      </c>
      <c r="B29" s="26" t="str">
        <f t="shared" si="6"/>
        <v/>
      </c>
      <c r="C29" s="27"/>
      <c r="D29" s="26" t="str">
        <f t="shared" si="2"/>
        <v/>
      </c>
      <c r="E29" s="22" t="str">
        <f>IF(A29="","",SUMIF('Product Backlog'!E$6:E$105,'Release Plan1'!A29,'Product Backlog'!D$6:D$105))</f>
        <v/>
      </c>
      <c r="F29" s="4" t="str">
        <f t="shared" si="7"/>
        <v>Unplanned</v>
      </c>
      <c r="G29" s="27"/>
      <c r="H29" s="28"/>
      <c r="I29" s="37"/>
    </row>
    <row r="30" spans="1:9" x14ac:dyDescent="0.2">
      <c r="A30" s="22" t="str">
        <f t="shared" si="5"/>
        <v/>
      </c>
      <c r="B30" s="26" t="str">
        <f t="shared" si="6"/>
        <v/>
      </c>
      <c r="C30" s="27"/>
      <c r="D30" s="26" t="str">
        <f t="shared" si="2"/>
        <v/>
      </c>
      <c r="E30" s="22" t="str">
        <f>IF(A30="","",SUMIF('Product Backlog'!E$6:E$105,'Release Plan1'!A30,'Product Backlog'!D$6:D$105))</f>
        <v/>
      </c>
      <c r="F30" s="4" t="str">
        <f t="shared" si="7"/>
        <v>Unplanned</v>
      </c>
      <c r="G30" s="27"/>
      <c r="H30" s="29"/>
      <c r="I30" s="38"/>
    </row>
    <row r="31" spans="1:9" x14ac:dyDescent="0.2">
      <c r="A31" s="23"/>
      <c r="B31" s="23"/>
      <c r="C31" s="23"/>
      <c r="D31" s="24" t="s">
        <v>20</v>
      </c>
      <c r="E31">
        <f>121-SUM(E16:E19)</f>
        <v>87</v>
      </c>
      <c r="F31" s="23"/>
      <c r="G31" s="48"/>
      <c r="H31" s="23"/>
    </row>
  </sheetData>
  <phoneticPr fontId="2" type="noConversion"/>
  <conditionalFormatting sqref="G4:H10 E5:E10 A4:D10">
    <cfRule type="expression" dxfId="266" priority="46" stopIfTrue="1">
      <formula>$F4="Planned"</formula>
    </cfRule>
    <cfRule type="expression" dxfId="265" priority="47" stopIfTrue="1">
      <formula>$F4="Ongoing"</formula>
    </cfRule>
  </conditionalFormatting>
  <conditionalFormatting sqref="F4:F10 F20:F30">
    <cfRule type="expression" dxfId="264" priority="48" stopIfTrue="1">
      <formula>$F4="Planned"</formula>
    </cfRule>
    <cfRule type="expression" dxfId="263" priority="49" stopIfTrue="1">
      <formula>$F4="Ongoing"</formula>
    </cfRule>
    <cfRule type="cellIs" dxfId="262" priority="50" stopIfTrue="1" operator="equal">
      <formula>"Unplanned"</formula>
    </cfRule>
  </conditionalFormatting>
  <conditionalFormatting sqref="E4 A20:E30 A16:B16 D16 G20:H30">
    <cfRule type="expression" dxfId="261" priority="51" stopIfTrue="1">
      <formula>OR($F4="Planned",$F4="Unplanned")</formula>
    </cfRule>
    <cfRule type="expression" dxfId="260" priority="52" stopIfTrue="1">
      <formula>$F4="Ongoing"</formula>
    </cfRule>
  </conditionalFormatting>
  <conditionalFormatting sqref="C16">
    <cfRule type="expression" dxfId="259" priority="44" stopIfTrue="1">
      <formula>OR($F16="Planned",$F16="Unplanned")</formula>
    </cfRule>
    <cfRule type="expression" dxfId="258" priority="45" stopIfTrue="1">
      <formula>$F16="Ongoing"</formula>
    </cfRule>
  </conditionalFormatting>
  <conditionalFormatting sqref="A17:B17 D17">
    <cfRule type="expression" dxfId="254" priority="42" stopIfTrue="1">
      <formula>OR($F17="Planned",$F17="Unplanned")</formula>
    </cfRule>
    <cfRule type="expression" dxfId="253" priority="43" stopIfTrue="1">
      <formula>$F17="Ongoing"</formula>
    </cfRule>
  </conditionalFormatting>
  <conditionalFormatting sqref="C17">
    <cfRule type="expression" dxfId="252" priority="37" stopIfTrue="1">
      <formula>OR($F17="Planned",$F17="Unplanned")</formula>
    </cfRule>
    <cfRule type="expression" dxfId="251" priority="38" stopIfTrue="1">
      <formula>$F17="Ongoing"</formula>
    </cfRule>
  </conditionalFormatting>
  <conditionalFormatting sqref="A18:B18 D18">
    <cfRule type="expression" dxfId="247" priority="35" stopIfTrue="1">
      <formula>OR($F18="Planned",$F18="Unplanned")</formula>
    </cfRule>
    <cfRule type="expression" dxfId="246" priority="36" stopIfTrue="1">
      <formula>$F18="Ongoing"</formula>
    </cfRule>
  </conditionalFormatting>
  <conditionalFormatting sqref="C18">
    <cfRule type="expression" dxfId="245" priority="30" stopIfTrue="1">
      <formula>OR($F18="Planned",$F18="Unplanned")</formula>
    </cfRule>
    <cfRule type="expression" dxfId="244" priority="31" stopIfTrue="1">
      <formula>$F18="Ongoing"</formula>
    </cfRule>
  </conditionalFormatting>
  <conditionalFormatting sqref="A19:B19 D19">
    <cfRule type="expression" dxfId="240" priority="28" stopIfTrue="1">
      <formula>OR($F19="Planned",$F19="Unplanned")</formula>
    </cfRule>
    <cfRule type="expression" dxfId="239" priority="29" stopIfTrue="1">
      <formula>$F19="Ongoing"</formula>
    </cfRule>
  </conditionalFormatting>
  <conditionalFormatting sqref="C19">
    <cfRule type="expression" dxfId="238" priority="23" stopIfTrue="1">
      <formula>OR($F19="Planned",$F19="Unplanned")</formula>
    </cfRule>
    <cfRule type="expression" dxfId="237" priority="24" stopIfTrue="1">
      <formula>$F19="Ongoing"</formula>
    </cfRule>
  </conditionalFormatting>
  <conditionalFormatting sqref="F16">
    <cfRule type="expression" dxfId="232" priority="16" stopIfTrue="1">
      <formula>$F16="Planned"</formula>
    </cfRule>
    <cfRule type="expression" dxfId="231" priority="17" stopIfTrue="1">
      <formula>$F16="Ongoing"</formula>
    </cfRule>
    <cfRule type="cellIs" dxfId="230" priority="18" stopIfTrue="1" operator="equal">
      <formula>"Unplanned"</formula>
    </cfRule>
  </conditionalFormatting>
  <conditionalFormatting sqref="G16:H16 E16">
    <cfRule type="expression" dxfId="229" priority="19" stopIfTrue="1">
      <formula>OR($F16="Planned",$F16="Unplanned")</formula>
    </cfRule>
    <cfRule type="expression" dxfId="228" priority="20" stopIfTrue="1">
      <formula>$F16="Ongoing"</formula>
    </cfRule>
  </conditionalFormatting>
  <conditionalFormatting sqref="F17">
    <cfRule type="expression" dxfId="227" priority="11" stopIfTrue="1">
      <formula>$F17="Planned"</formula>
    </cfRule>
    <cfRule type="expression" dxfId="226" priority="12" stopIfTrue="1">
      <formula>$F17="Ongoing"</formula>
    </cfRule>
    <cfRule type="cellIs" dxfId="225" priority="13" stopIfTrue="1" operator="equal">
      <formula>"Unplanned"</formula>
    </cfRule>
  </conditionalFormatting>
  <conditionalFormatting sqref="G17:H17 E17">
    <cfRule type="expression" dxfId="224" priority="14" stopIfTrue="1">
      <formula>OR($F17="Planned",$F17="Unplanned")</formula>
    </cfRule>
    <cfRule type="expression" dxfId="223" priority="15" stopIfTrue="1">
      <formula>$F17="Ongoing"</formula>
    </cfRule>
  </conditionalFormatting>
  <conditionalFormatting sqref="F18">
    <cfRule type="expression" dxfId="222" priority="6" stopIfTrue="1">
      <formula>$F18="Planned"</formula>
    </cfRule>
    <cfRule type="expression" dxfId="221" priority="7" stopIfTrue="1">
      <formula>$F18="Ongoing"</formula>
    </cfRule>
    <cfRule type="cellIs" dxfId="220" priority="8" stopIfTrue="1" operator="equal">
      <formula>"Unplanned"</formula>
    </cfRule>
  </conditionalFormatting>
  <conditionalFormatting sqref="G18:H18 E18">
    <cfRule type="expression" dxfId="219" priority="9" stopIfTrue="1">
      <formula>OR($F18="Planned",$F18="Unplanned")</formula>
    </cfRule>
    <cfRule type="expression" dxfId="218" priority="10" stopIfTrue="1">
      <formula>$F18="Ongoing"</formula>
    </cfRule>
  </conditionalFormatting>
  <conditionalFormatting sqref="F19">
    <cfRule type="expression" dxfId="217" priority="1" stopIfTrue="1">
      <formula>$F19="Planned"</formula>
    </cfRule>
    <cfRule type="expression" dxfId="216" priority="2" stopIfTrue="1">
      <formula>$F19="Ongoing"</formula>
    </cfRule>
    <cfRule type="cellIs" dxfId="215" priority="3" stopIfTrue="1" operator="equal">
      <formula>"Unplanned"</formula>
    </cfRule>
  </conditionalFormatting>
  <conditionalFormatting sqref="G19:H19 E19">
    <cfRule type="expression" dxfId="214" priority="4" stopIfTrue="1">
      <formula>OR($F19="Planned",$F19="Unplanned")</formula>
    </cfRule>
    <cfRule type="expression" dxfId="213" priority="5" stopIfTrue="1">
      <formula>$F19="Ongoing"</formula>
    </cfRule>
  </conditionalFormatting>
  <dataValidations disablePrompts="1" count="1">
    <dataValidation type="list" allowBlank="1" showInputMessage="1" showErrorMessage="1" sqref="F4:F10 F16:F30">
      <formula1>"Planned,Ongoing,Released,Unplanned"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1:J38"/>
  <sheetViews>
    <sheetView tabSelected="1" topLeftCell="A15" workbookViewId="0">
      <selection activeCell="H27" sqref="H27"/>
    </sheetView>
  </sheetViews>
  <sheetFormatPr baseColWidth="10" defaultColWidth="11.42578125" defaultRowHeight="12.75" x14ac:dyDescent="0.2"/>
  <cols>
    <col min="1" max="1" width="7.85546875" customWidth="1"/>
    <col min="2" max="2" width="10.42578125" customWidth="1"/>
    <col min="3" max="3" width="9.5703125" customWidth="1"/>
    <col min="4" max="5" width="10.7109375" customWidth="1"/>
    <col min="6" max="6" width="9.140625" customWidth="1"/>
    <col min="7" max="7" width="13.7109375" style="120" customWidth="1"/>
    <col min="8" max="8" width="59.140625" customWidth="1"/>
    <col min="9" max="9" width="10.7109375" customWidth="1"/>
  </cols>
  <sheetData>
    <row r="1" spans="1:10" ht="18" x14ac:dyDescent="0.25">
      <c r="A1" s="15" t="s">
        <v>15</v>
      </c>
    </row>
    <row r="3" spans="1:10" x14ac:dyDescent="0.2">
      <c r="A3" s="9" t="s">
        <v>16</v>
      </c>
      <c r="B3" s="43" t="s">
        <v>1</v>
      </c>
      <c r="C3" s="44" t="s">
        <v>29</v>
      </c>
      <c r="D3" s="44" t="s">
        <v>2</v>
      </c>
      <c r="E3" s="43" t="s">
        <v>18</v>
      </c>
      <c r="F3" s="10" t="s">
        <v>3</v>
      </c>
      <c r="G3" s="43" t="s">
        <v>4</v>
      </c>
      <c r="H3" s="11" t="s">
        <v>0</v>
      </c>
      <c r="I3" s="1"/>
      <c r="J3" s="1"/>
    </row>
    <row r="4" spans="1:10" x14ac:dyDescent="0.2">
      <c r="A4" s="12"/>
      <c r="B4" s="42" t="str">
        <f>IF(OR(B16="",A4=""),"",B16)</f>
        <v/>
      </c>
      <c r="C4" s="25" t="str">
        <f t="shared" ref="C4:C10" si="0">IF(A4="","",SUMIF(I$16:I$30,A4,C$16:C$30))</f>
        <v/>
      </c>
      <c r="D4" s="42" t="str">
        <f>IF(OR(B4="",C4=""),"",B4+C4-1)</f>
        <v/>
      </c>
      <c r="E4" s="22" t="str">
        <f>IF(A4="","",SUMIF(I$16:I$30,'Release Plan 2'!A4,E$16:E$30))</f>
        <v/>
      </c>
      <c r="F4" s="4"/>
      <c r="G4" s="45"/>
      <c r="H4" s="6"/>
    </row>
    <row r="5" spans="1:10" x14ac:dyDescent="0.2">
      <c r="A5" s="13"/>
      <c r="B5" s="39" t="str">
        <f>IF(A5="","",B4+C4)</f>
        <v/>
      </c>
      <c r="C5" s="22" t="str">
        <f t="shared" si="0"/>
        <v/>
      </c>
      <c r="D5" s="39" t="str">
        <f t="shared" ref="D5:D10" si="1">IF(OR(B5="",C5=""),"",B5+C5-1)</f>
        <v/>
      </c>
      <c r="E5" s="22" t="str">
        <f>IF(A5="","",SUMIF(I$16:I$30,'Release Plan 2'!A5,E$16:E$30))</f>
        <v/>
      </c>
      <c r="F5" s="4"/>
      <c r="G5" s="46"/>
      <c r="H5" s="7"/>
    </row>
    <row r="6" spans="1:10" x14ac:dyDescent="0.2">
      <c r="A6" s="13"/>
      <c r="B6" s="39"/>
      <c r="C6" s="22" t="str">
        <f t="shared" si="0"/>
        <v/>
      </c>
      <c r="D6" s="39" t="str">
        <f t="shared" si="1"/>
        <v/>
      </c>
      <c r="E6" s="22" t="str">
        <f>IF(A6="","",SUMIF(I$16:I$30,'Release Plan 2'!A6,E$16:E$30))</f>
        <v/>
      </c>
      <c r="F6" s="4"/>
      <c r="G6" s="46"/>
      <c r="H6" s="7"/>
    </row>
    <row r="7" spans="1:10" x14ac:dyDescent="0.2">
      <c r="A7" s="13"/>
      <c r="B7" s="39"/>
      <c r="C7" s="22" t="str">
        <f t="shared" si="0"/>
        <v/>
      </c>
      <c r="D7" s="39" t="str">
        <f t="shared" si="1"/>
        <v/>
      </c>
      <c r="E7" s="22" t="str">
        <f>IF(A7="","",SUMIF(I$16:I$30,'Release Plan 2'!A7,E$16:E$30))</f>
        <v/>
      </c>
      <c r="F7" s="4"/>
      <c r="G7" s="46"/>
      <c r="H7" s="7"/>
    </row>
    <row r="8" spans="1:10" x14ac:dyDescent="0.2">
      <c r="A8" s="13"/>
      <c r="B8" s="39"/>
      <c r="C8" s="22" t="str">
        <f t="shared" si="0"/>
        <v/>
      </c>
      <c r="D8" s="39" t="str">
        <f t="shared" si="1"/>
        <v/>
      </c>
      <c r="E8" s="22" t="str">
        <f>IF(A8="","",SUMIF(I$16:I$30,'Release Plan 2'!A8,E$16:E$30))</f>
        <v/>
      </c>
      <c r="F8" s="4"/>
      <c r="G8" s="46"/>
      <c r="H8" s="7"/>
    </row>
    <row r="9" spans="1:10" x14ac:dyDescent="0.2">
      <c r="A9" s="13"/>
      <c r="B9" s="39"/>
      <c r="C9" s="22" t="str">
        <f t="shared" si="0"/>
        <v/>
      </c>
      <c r="D9" s="39" t="str">
        <f t="shared" si="1"/>
        <v/>
      </c>
      <c r="E9" s="22" t="str">
        <f>IF(A9="","",SUMIF(I$16:I$30,'Release Plan 2'!A9,E$16:E$30))</f>
        <v/>
      </c>
      <c r="F9" s="4"/>
      <c r="G9" s="46"/>
      <c r="H9" s="7"/>
    </row>
    <row r="10" spans="1:10" x14ac:dyDescent="0.2">
      <c r="A10" s="14"/>
      <c r="B10" s="40"/>
      <c r="C10" s="41" t="str">
        <f t="shared" si="0"/>
        <v/>
      </c>
      <c r="D10" s="40" t="str">
        <f t="shared" si="1"/>
        <v/>
      </c>
      <c r="E10" s="41" t="str">
        <f>IF(A10="","",SUMIF(I$16:I$30,'Release Plan 2'!A10,E$16:E$30))</f>
        <v/>
      </c>
      <c r="F10" s="5"/>
      <c r="G10" s="47"/>
      <c r="H10" s="8"/>
    </row>
    <row r="11" spans="1:10" x14ac:dyDescent="0.2">
      <c r="A11" s="36" t="s">
        <v>30</v>
      </c>
    </row>
    <row r="13" spans="1:10" ht="18" x14ac:dyDescent="0.25">
      <c r="A13" s="15" t="s">
        <v>14</v>
      </c>
      <c r="C13" s="111" t="s">
        <v>185</v>
      </c>
    </row>
    <row r="15" spans="1:10" x14ac:dyDescent="0.2">
      <c r="A15" s="9" t="s">
        <v>13</v>
      </c>
      <c r="B15" s="43" t="s">
        <v>1</v>
      </c>
      <c r="C15" s="43" t="s">
        <v>29</v>
      </c>
      <c r="D15" s="43" t="s">
        <v>2</v>
      </c>
      <c r="E15" s="43" t="s">
        <v>18</v>
      </c>
      <c r="F15" s="10" t="s">
        <v>3</v>
      </c>
      <c r="G15" s="43" t="s">
        <v>4</v>
      </c>
      <c r="H15" s="71" t="s">
        <v>0</v>
      </c>
      <c r="I15" s="49" t="s">
        <v>31</v>
      </c>
      <c r="J15" s="1"/>
    </row>
    <row r="16" spans="1:10" x14ac:dyDescent="0.2">
      <c r="A16" s="22">
        <v>5</v>
      </c>
      <c r="B16" s="72">
        <v>42184</v>
      </c>
      <c r="C16" s="27">
        <v>14</v>
      </c>
      <c r="D16" s="26">
        <f t="shared" ref="D16:D30" si="2">IF(AND(B16&lt;&gt;"",C16&lt;&gt;""),B16+C16-1,"")</f>
        <v>42197</v>
      </c>
      <c r="E16" s="22">
        <v>9</v>
      </c>
      <c r="F16" s="4" t="s">
        <v>19</v>
      </c>
      <c r="G16" s="27"/>
      <c r="H16" s="121">
        <v>17</v>
      </c>
      <c r="I16" s="70"/>
    </row>
    <row r="17" spans="1:9" x14ac:dyDescent="0.2">
      <c r="A17" s="22">
        <v>6</v>
      </c>
      <c r="B17" s="72">
        <v>42198</v>
      </c>
      <c r="C17" s="27">
        <v>14</v>
      </c>
      <c r="D17" s="26">
        <f t="shared" si="2"/>
        <v>42211</v>
      </c>
      <c r="E17" s="22">
        <v>9</v>
      </c>
      <c r="F17" s="4" t="s">
        <v>19</v>
      </c>
      <c r="G17" s="27"/>
      <c r="H17" s="122">
        <v>17</v>
      </c>
      <c r="I17" s="70"/>
    </row>
    <row r="18" spans="1:9" x14ac:dyDescent="0.2">
      <c r="A18" s="22">
        <v>7</v>
      </c>
      <c r="B18" s="72">
        <v>42212</v>
      </c>
      <c r="C18" s="27">
        <v>14</v>
      </c>
      <c r="D18" s="26">
        <f t="shared" si="2"/>
        <v>42225</v>
      </c>
      <c r="E18" s="22">
        <v>8</v>
      </c>
      <c r="F18" s="4" t="s">
        <v>19</v>
      </c>
      <c r="G18" s="27"/>
      <c r="H18" s="122">
        <v>17.190000000000001</v>
      </c>
      <c r="I18" s="70"/>
    </row>
    <row r="19" spans="1:9" x14ac:dyDescent="0.2">
      <c r="A19" s="22">
        <v>8</v>
      </c>
      <c r="B19" s="72">
        <v>42226</v>
      </c>
      <c r="C19" s="27">
        <v>14</v>
      </c>
      <c r="D19" s="26">
        <f t="shared" si="2"/>
        <v>42239</v>
      </c>
      <c r="E19" s="22">
        <v>8</v>
      </c>
      <c r="F19" s="4" t="s">
        <v>19</v>
      </c>
      <c r="G19" s="72"/>
      <c r="H19" s="122">
        <v>18</v>
      </c>
      <c r="I19" s="70"/>
    </row>
    <row r="20" spans="1:9" x14ac:dyDescent="0.2">
      <c r="A20" s="22">
        <v>9</v>
      </c>
      <c r="B20" s="26">
        <v>42240</v>
      </c>
      <c r="C20" s="27">
        <v>14</v>
      </c>
      <c r="D20" s="26">
        <f>IF(AND(B20&lt;&gt;"",C20&lt;&gt;""),B20+C20-1,"")</f>
        <v>42253</v>
      </c>
      <c r="E20" s="22">
        <v>8</v>
      </c>
      <c r="F20" s="4" t="str">
        <f>IF(AND(OR(F19="Planned",F19="Ongoing"),C20&lt;&gt;""),"Planned","Unplanned")</f>
        <v>Planned</v>
      </c>
      <c r="G20" s="27"/>
      <c r="H20" s="122">
        <v>21</v>
      </c>
      <c r="I20" s="37"/>
    </row>
    <row r="21" spans="1:9" x14ac:dyDescent="0.2">
      <c r="A21" s="22">
        <v>10</v>
      </c>
      <c r="B21" s="26">
        <v>42254</v>
      </c>
      <c r="C21" s="27">
        <v>14</v>
      </c>
      <c r="D21" s="26">
        <f>IF(AND(B21&lt;&gt;"",C21&lt;&gt;""),B21+C21-1,"")</f>
        <v>42267</v>
      </c>
      <c r="E21" s="22">
        <v>10</v>
      </c>
      <c r="F21" s="4" t="str">
        <f>IF(AND(OR(F20="Planned",F20="Ongoing"),C21&lt;&gt;""),"Planned","Unplanned")</f>
        <v>Planned</v>
      </c>
      <c r="G21" s="27"/>
      <c r="H21" s="28">
        <v>23.27</v>
      </c>
      <c r="I21" s="37"/>
    </row>
    <row r="22" spans="1:9" x14ac:dyDescent="0.2">
      <c r="A22" s="22">
        <v>11</v>
      </c>
      <c r="B22" s="26">
        <v>42268</v>
      </c>
      <c r="C22" s="27">
        <v>14</v>
      </c>
      <c r="D22" s="26">
        <f t="shared" si="2"/>
        <v>42281</v>
      </c>
      <c r="E22" s="22">
        <v>9</v>
      </c>
      <c r="F22" s="4" t="str">
        <f t="shared" ref="F22:F30" si="3">IF(AND(OR(F21="Planned",F21="Ongoing"),C22&lt;&gt;""),"Planned","Unplanned")</f>
        <v>Planned</v>
      </c>
      <c r="G22" s="27"/>
      <c r="H22" s="28">
        <v>20</v>
      </c>
      <c r="I22" s="37"/>
    </row>
    <row r="23" spans="1:9" x14ac:dyDescent="0.2">
      <c r="A23" s="22">
        <v>12</v>
      </c>
      <c r="B23" s="26">
        <v>42281</v>
      </c>
      <c r="C23" s="27">
        <v>14</v>
      </c>
      <c r="D23" s="26">
        <f t="shared" si="2"/>
        <v>42294</v>
      </c>
      <c r="E23" s="22">
        <v>9</v>
      </c>
      <c r="F23" s="4" t="str">
        <f t="shared" si="3"/>
        <v>Planned</v>
      </c>
      <c r="G23" s="27"/>
      <c r="H23" s="28">
        <v>20.239999999999998</v>
      </c>
      <c r="I23" s="37"/>
    </row>
    <row r="24" spans="1:9" x14ac:dyDescent="0.2">
      <c r="A24" s="22">
        <f t="shared" ref="A24:A30" si="4">IF(AND(B24&lt;&gt;"",C24&lt;&gt;""),A23+1,"")</f>
        <v>13</v>
      </c>
      <c r="B24" s="26">
        <v>42295</v>
      </c>
      <c r="C24" s="27">
        <v>14</v>
      </c>
      <c r="D24" s="26">
        <f t="shared" si="2"/>
        <v>42308</v>
      </c>
      <c r="E24" s="22">
        <v>9</v>
      </c>
      <c r="F24" s="4" t="str">
        <f t="shared" si="3"/>
        <v>Planned</v>
      </c>
      <c r="G24" s="27"/>
      <c r="H24" s="28">
        <v>25.28</v>
      </c>
      <c r="I24" s="37"/>
    </row>
    <row r="25" spans="1:9" x14ac:dyDescent="0.2">
      <c r="A25" s="22">
        <f t="shared" si="4"/>
        <v>14</v>
      </c>
      <c r="B25" s="26">
        <v>42309</v>
      </c>
      <c r="C25" s="27">
        <v>14</v>
      </c>
      <c r="D25" s="26">
        <f t="shared" si="2"/>
        <v>42322</v>
      </c>
      <c r="E25" s="22">
        <v>9</v>
      </c>
      <c r="F25" s="4" t="s">
        <v>19</v>
      </c>
      <c r="G25" s="27"/>
      <c r="H25" s="28">
        <v>28</v>
      </c>
      <c r="I25" s="37"/>
    </row>
    <row r="26" spans="1:9" x14ac:dyDescent="0.2">
      <c r="A26" s="22">
        <v>15</v>
      </c>
      <c r="B26" s="26">
        <v>42323</v>
      </c>
      <c r="C26" s="27">
        <v>14</v>
      </c>
      <c r="D26" s="26">
        <f t="shared" si="2"/>
        <v>42336</v>
      </c>
      <c r="E26" s="22">
        <v>8</v>
      </c>
      <c r="F26" s="4" t="str">
        <f t="shared" si="3"/>
        <v>Planned</v>
      </c>
      <c r="G26" s="27"/>
      <c r="H26" s="28">
        <v>26</v>
      </c>
      <c r="I26" s="37"/>
    </row>
    <row r="27" spans="1:9" x14ac:dyDescent="0.2">
      <c r="A27" s="22">
        <v>16</v>
      </c>
      <c r="B27" s="26">
        <v>42337</v>
      </c>
      <c r="C27" s="27">
        <v>14</v>
      </c>
      <c r="D27" s="26">
        <f t="shared" si="2"/>
        <v>42350</v>
      </c>
      <c r="E27" s="22">
        <v>9</v>
      </c>
      <c r="F27" s="4" t="str">
        <f t="shared" si="3"/>
        <v>Planned</v>
      </c>
      <c r="G27" s="27"/>
      <c r="H27" s="122" t="s">
        <v>197</v>
      </c>
      <c r="I27" s="37"/>
    </row>
    <row r="28" spans="1:9" x14ac:dyDescent="0.2">
      <c r="A28" s="22">
        <v>17</v>
      </c>
      <c r="B28" s="26">
        <v>42351</v>
      </c>
      <c r="C28" s="27">
        <v>14</v>
      </c>
      <c r="D28" s="26">
        <f t="shared" si="2"/>
        <v>42364</v>
      </c>
      <c r="E28" s="22">
        <v>9</v>
      </c>
      <c r="F28" s="4" t="s">
        <v>19</v>
      </c>
      <c r="G28" s="27"/>
      <c r="H28" s="28">
        <v>29</v>
      </c>
      <c r="I28" s="37"/>
    </row>
    <row r="29" spans="1:9" x14ac:dyDescent="0.2">
      <c r="A29" s="22">
        <v>18</v>
      </c>
      <c r="B29" s="26">
        <v>42365</v>
      </c>
      <c r="C29" s="27">
        <v>14</v>
      </c>
      <c r="D29" s="26">
        <f t="shared" si="2"/>
        <v>42378</v>
      </c>
      <c r="E29" s="22">
        <v>9</v>
      </c>
      <c r="F29" s="4" t="s">
        <v>19</v>
      </c>
      <c r="G29" s="27"/>
      <c r="H29" s="28">
        <v>29</v>
      </c>
      <c r="I29" s="37"/>
    </row>
    <row r="30" spans="1:9" x14ac:dyDescent="0.2">
      <c r="A30" s="22">
        <v>19</v>
      </c>
      <c r="B30" s="26">
        <v>42379</v>
      </c>
      <c r="C30" s="27">
        <v>14</v>
      </c>
      <c r="D30" s="26">
        <f t="shared" si="2"/>
        <v>42392</v>
      </c>
      <c r="E30" s="22">
        <f>IF(A30="","",SUMIF('Product Backlog'!E$6:E$105,'Release Plan 2'!A30,'Product Backlog'!D$6:D$105))</f>
        <v>0</v>
      </c>
      <c r="F30" s="4" t="str">
        <f t="shared" si="3"/>
        <v>Planned</v>
      </c>
      <c r="G30" s="27"/>
      <c r="H30" s="29"/>
      <c r="I30" s="38"/>
    </row>
    <row r="31" spans="1:9" x14ac:dyDescent="0.2">
      <c r="A31" s="23"/>
      <c r="B31" s="23"/>
      <c r="C31" s="23"/>
      <c r="D31" s="24" t="s">
        <v>20</v>
      </c>
      <c r="E31" s="25">
        <f>SUMIF('Product Backlog'!E$6:E$105,"",'Product Backlog'!D$6:D$105)-SUMIF('Product Backlog'!C$6:C$105,"Removed",'Product Backlog'!D$6:D$105)</f>
        <v>0</v>
      </c>
      <c r="F31" s="23">
        <f>AVERAGE(E16:E25)</f>
        <v>8.8000000000000007</v>
      </c>
      <c r="G31" s="48"/>
      <c r="H31" s="23"/>
    </row>
    <row r="33" spans="1:3" x14ac:dyDescent="0.2">
      <c r="A33" s="1" t="s">
        <v>193</v>
      </c>
    </row>
    <row r="34" spans="1:3" x14ac:dyDescent="0.2">
      <c r="A34" s="111" t="s">
        <v>194</v>
      </c>
    </row>
    <row r="35" spans="1:3" x14ac:dyDescent="0.2">
      <c r="A35" s="111" t="s">
        <v>199</v>
      </c>
    </row>
    <row r="36" spans="1:3" x14ac:dyDescent="0.2">
      <c r="A36" s="111" t="s">
        <v>195</v>
      </c>
    </row>
    <row r="37" spans="1:3" x14ac:dyDescent="0.2">
      <c r="A37" s="111" t="s">
        <v>196</v>
      </c>
      <c r="C37" s="127"/>
    </row>
    <row r="38" spans="1:3" x14ac:dyDescent="0.2">
      <c r="A38" s="111"/>
    </row>
  </sheetData>
  <conditionalFormatting sqref="G4:H10 E31 E5:E10 A4:D10">
    <cfRule type="expression" dxfId="212" priority="27" stopIfTrue="1">
      <formula>$F4="Planned"</formula>
    </cfRule>
    <cfRule type="expression" dxfId="211" priority="28" stopIfTrue="1">
      <formula>$F4="Ongoing"</formula>
    </cfRule>
  </conditionalFormatting>
  <conditionalFormatting sqref="F4:F10 F16 F20:F30">
    <cfRule type="expression" dxfId="210" priority="29" stopIfTrue="1">
      <formula>$F4="Planned"</formula>
    </cfRule>
    <cfRule type="expression" dxfId="209" priority="30" stopIfTrue="1">
      <formula>$F4="Ongoing"</formula>
    </cfRule>
    <cfRule type="cellIs" dxfId="208" priority="31" stopIfTrue="1" operator="equal">
      <formula>"Unplanned"</formula>
    </cfRule>
  </conditionalFormatting>
  <conditionalFormatting sqref="E4 G16:H16 A20:E30 A16:B16 D16:E16 G20:H30">
    <cfRule type="expression" dxfId="207" priority="32" stopIfTrue="1">
      <formula>OR($F4="Planned",$F4="Unplanned")</formula>
    </cfRule>
    <cfRule type="expression" dxfId="206" priority="33" stopIfTrue="1">
      <formula>$F4="Ongoing"</formula>
    </cfRule>
  </conditionalFormatting>
  <conditionalFormatting sqref="C16">
    <cfRule type="expression" dxfId="205" priority="25" stopIfTrue="1">
      <formula>OR($F16="Planned",$F16="Unplanned")</formula>
    </cfRule>
    <cfRule type="expression" dxfId="204" priority="26" stopIfTrue="1">
      <formula>$F16="Ongoing"</formula>
    </cfRule>
  </conditionalFormatting>
  <conditionalFormatting sqref="F17">
    <cfRule type="expression" dxfId="203" priority="20" stopIfTrue="1">
      <formula>$F17="Planned"</formula>
    </cfRule>
    <cfRule type="expression" dxfId="202" priority="21" stopIfTrue="1">
      <formula>$F17="Ongoing"</formula>
    </cfRule>
    <cfRule type="cellIs" dxfId="201" priority="22" stopIfTrue="1" operator="equal">
      <formula>"Unplanned"</formula>
    </cfRule>
  </conditionalFormatting>
  <conditionalFormatting sqref="G17:H17 A17:B17 D17:E17">
    <cfRule type="expression" dxfId="200" priority="23" stopIfTrue="1">
      <formula>OR($F17="Planned",$F17="Unplanned")</formula>
    </cfRule>
    <cfRule type="expression" dxfId="199" priority="24" stopIfTrue="1">
      <formula>$F17="Ongoing"</formula>
    </cfRule>
  </conditionalFormatting>
  <conditionalFormatting sqref="C17">
    <cfRule type="expression" dxfId="198" priority="18" stopIfTrue="1">
      <formula>OR($F17="Planned",$F17="Unplanned")</formula>
    </cfRule>
    <cfRule type="expression" dxfId="197" priority="19" stopIfTrue="1">
      <formula>$F17="Ongoing"</formula>
    </cfRule>
  </conditionalFormatting>
  <conditionalFormatting sqref="F18">
    <cfRule type="expression" dxfId="196" priority="13" stopIfTrue="1">
      <formula>$F18="Planned"</formula>
    </cfRule>
    <cfRule type="expression" dxfId="195" priority="14" stopIfTrue="1">
      <formula>$F18="Ongoing"</formula>
    </cfRule>
    <cfRule type="cellIs" dxfId="194" priority="15" stopIfTrue="1" operator="equal">
      <formula>"Unplanned"</formula>
    </cfRule>
  </conditionalFormatting>
  <conditionalFormatting sqref="G18:H18 A18:B18 D18:E18">
    <cfRule type="expression" dxfId="193" priority="16" stopIfTrue="1">
      <formula>OR($F18="Planned",$F18="Unplanned")</formula>
    </cfRule>
    <cfRule type="expression" dxfId="192" priority="17" stopIfTrue="1">
      <formula>$F18="Ongoing"</formula>
    </cfRule>
  </conditionalFormatting>
  <conditionalFormatting sqref="C18">
    <cfRule type="expression" dxfId="191" priority="11" stopIfTrue="1">
      <formula>OR($F18="Planned",$F18="Unplanned")</formula>
    </cfRule>
    <cfRule type="expression" dxfId="190" priority="12" stopIfTrue="1">
      <formula>$F18="Ongoing"</formula>
    </cfRule>
  </conditionalFormatting>
  <conditionalFormatting sqref="F19">
    <cfRule type="expression" dxfId="189" priority="6" stopIfTrue="1">
      <formula>$F19="Planned"</formula>
    </cfRule>
    <cfRule type="expression" dxfId="188" priority="7" stopIfTrue="1">
      <formula>$F19="Ongoing"</formula>
    </cfRule>
    <cfRule type="cellIs" dxfId="187" priority="8" stopIfTrue="1" operator="equal">
      <formula>"Unplanned"</formula>
    </cfRule>
  </conditionalFormatting>
  <conditionalFormatting sqref="G19:H19 A19:B19 D19:E19">
    <cfRule type="expression" dxfId="186" priority="9" stopIfTrue="1">
      <formula>OR($F19="Planned",$F19="Unplanned")</formula>
    </cfRule>
    <cfRule type="expression" dxfId="185" priority="10" stopIfTrue="1">
      <formula>$F19="Ongoing"</formula>
    </cfRule>
  </conditionalFormatting>
  <conditionalFormatting sqref="C19">
    <cfRule type="expression" dxfId="184" priority="4" stopIfTrue="1">
      <formula>OR($F19="Planned",$F19="Unplanned")</formula>
    </cfRule>
    <cfRule type="expression" dxfId="183" priority="5" stopIfTrue="1">
      <formula>$F19="Ongoing"</formula>
    </cfRule>
  </conditionalFormatting>
  <dataValidations count="1">
    <dataValidation type="list" allowBlank="1" showInputMessage="1" showErrorMessage="1" sqref="F4:F10 F16:F30">
      <formula1>"Planned,Ongoing,Released,Unplanned"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C000"/>
  </sheetPr>
  <dimension ref="A1:AD87"/>
  <sheetViews>
    <sheetView workbookViewId="0">
      <pane ySplit="14" topLeftCell="A15" activePane="bottomLeft" state="frozen"/>
      <selection activeCell="E25" sqref="E25"/>
      <selection pane="bottomLeft" activeCell="B15" sqref="B15:B17"/>
    </sheetView>
  </sheetViews>
  <sheetFormatPr baseColWidth="10" defaultColWidth="11.42578125" defaultRowHeight="12.75" x14ac:dyDescent="0.2"/>
  <cols>
    <col min="1" max="1" width="50" style="33" bestFit="1" customWidth="1"/>
    <col min="2" max="2" width="8.5703125" style="32" customWidth="1"/>
    <col min="3" max="3" width="14" style="33" customWidth="1"/>
    <col min="4" max="4" width="10.85546875" style="33" customWidth="1"/>
    <col min="5" max="5" width="6.5703125" style="32" customWidth="1"/>
    <col min="6" max="30" width="4.42578125" style="32" customWidth="1"/>
    <col min="31" max="16384" width="11.42578125" style="33"/>
  </cols>
  <sheetData>
    <row r="1" spans="1:30" ht="18" x14ac:dyDescent="0.2">
      <c r="A1" s="63">
        <v>1</v>
      </c>
      <c r="B1" s="64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</row>
    <row r="2" spans="1:30" x14ac:dyDescent="0.2"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</row>
    <row r="9" spans="1:30" x14ac:dyDescent="0.2">
      <c r="A9" s="65" t="s">
        <v>12</v>
      </c>
      <c r="B9" s="66">
        <v>15</v>
      </c>
      <c r="C9" s="65"/>
      <c r="D9" s="67"/>
      <c r="E9" s="65" t="s">
        <v>9</v>
      </c>
      <c r="F9" s="65" t="s">
        <v>11</v>
      </c>
      <c r="G9" s="65"/>
      <c r="H9" s="65"/>
      <c r="I9" s="65"/>
      <c r="J9" s="65"/>
      <c r="K9" s="65"/>
      <c r="L9" s="65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</row>
    <row r="10" spans="1:30" x14ac:dyDescent="0.2">
      <c r="A10" s="65" t="s">
        <v>28</v>
      </c>
      <c r="B10" s="66"/>
      <c r="C10" s="65" t="s">
        <v>29</v>
      </c>
      <c r="D10" s="65" t="s">
        <v>17</v>
      </c>
      <c r="E10" s="68">
        <f ca="1">SUM(OFFSET(E14,1,0,TaskRows,1))</f>
        <v>36</v>
      </c>
      <c r="F10" s="68">
        <f ca="1">IF(AND(SUM(OFFSET(F14,1,0,TaskRows,1))=0),0,SUM(OFFSET(F14,1,0,TaskRows,1)))</f>
        <v>32</v>
      </c>
      <c r="G10" s="68">
        <f t="shared" ref="G10:AD10" ca="1" si="0">IF(AND(SUM(OFFSET(G14,1,0,TaskRows,1))=0),"",SUM(OFFSET(G14,1,0,TaskRows,1)))</f>
        <v>32</v>
      </c>
      <c r="H10" s="68">
        <f t="shared" ca="1" si="0"/>
        <v>28</v>
      </c>
      <c r="I10" s="68">
        <f t="shared" ca="1" si="0"/>
        <v>28</v>
      </c>
      <c r="J10" s="68">
        <f t="shared" ca="1" si="0"/>
        <v>28</v>
      </c>
      <c r="K10" s="68">
        <f t="shared" ca="1" si="0"/>
        <v>23</v>
      </c>
      <c r="L10" s="68">
        <f t="shared" ca="1" si="0"/>
        <v>18</v>
      </c>
      <c r="M10" s="68">
        <f t="shared" ca="1" si="0"/>
        <v>18</v>
      </c>
      <c r="N10" s="68">
        <f t="shared" ca="1" si="0"/>
        <v>12</v>
      </c>
      <c r="O10" s="68">
        <f t="shared" ca="1" si="0"/>
        <v>9</v>
      </c>
      <c r="P10" s="68">
        <f t="shared" ca="1" si="0"/>
        <v>9</v>
      </c>
      <c r="Q10" s="68">
        <f t="shared" ca="1" si="0"/>
        <v>4</v>
      </c>
      <c r="R10" s="68">
        <f t="shared" ca="1" si="0"/>
        <v>1</v>
      </c>
      <c r="S10" s="68">
        <f t="shared" ca="1" si="0"/>
        <v>1</v>
      </c>
      <c r="T10" s="68" t="str">
        <f t="shared" ca="1" si="0"/>
        <v/>
      </c>
      <c r="U10" s="68" t="str">
        <f t="shared" ca="1" si="0"/>
        <v/>
      </c>
      <c r="V10" s="68" t="str">
        <f t="shared" ca="1" si="0"/>
        <v/>
      </c>
      <c r="W10" s="68" t="str">
        <f t="shared" ca="1" si="0"/>
        <v/>
      </c>
      <c r="X10" s="68" t="str">
        <f t="shared" ca="1" si="0"/>
        <v/>
      </c>
      <c r="Y10" s="68" t="str">
        <f t="shared" ca="1" si="0"/>
        <v/>
      </c>
      <c r="Z10" s="68" t="str">
        <f t="shared" ca="1" si="0"/>
        <v/>
      </c>
      <c r="AA10" s="68" t="str">
        <f t="shared" ca="1" si="0"/>
        <v/>
      </c>
      <c r="AB10" s="68" t="str">
        <f t="shared" ca="1" si="0"/>
        <v/>
      </c>
      <c r="AC10" s="68" t="str">
        <f t="shared" ca="1" si="0"/>
        <v/>
      </c>
      <c r="AD10" s="68" t="str">
        <f t="shared" ca="1" si="0"/>
        <v/>
      </c>
    </row>
    <row r="11" spans="1:30" customFormat="1" hidden="1" x14ac:dyDescent="0.2">
      <c r="A11" t="s">
        <v>22</v>
      </c>
      <c r="B11" s="2">
        <f>IF(COUNTA(A15:A242)=0,1,COUNTA(A15:A242))</f>
        <v>9</v>
      </c>
      <c r="C11" t="s">
        <v>23</v>
      </c>
      <c r="D11" s="2">
        <f ca="1">IF(COUNTIF(F10:AD10,"&gt;0")=0,1,COUNTIF(F10:AD10,"&gt;0"))</f>
        <v>14</v>
      </c>
      <c r="E11" s="2"/>
      <c r="F11" s="2">
        <f ca="1">IF(F14="","",$E10-$E10/($B9-1)*(F14-1))</f>
        <v>36</v>
      </c>
      <c r="G11" s="2">
        <f t="shared" ref="G11:AD11" ca="1" si="1">IF(G14="","",TotalEffort-TotalEffort/(ImplementationDays)*(G14-1))</f>
        <v>33.6</v>
      </c>
      <c r="H11" s="2">
        <f t="shared" ca="1" si="1"/>
        <v>31.2</v>
      </c>
      <c r="I11" s="2">
        <f t="shared" ca="1" si="1"/>
        <v>28.8</v>
      </c>
      <c r="J11" s="2">
        <f t="shared" ca="1" si="1"/>
        <v>26.4</v>
      </c>
      <c r="K11" s="2">
        <f t="shared" ca="1" si="1"/>
        <v>24</v>
      </c>
      <c r="L11" s="2">
        <f t="shared" ca="1" si="1"/>
        <v>21.6</v>
      </c>
      <c r="M11" s="2">
        <f t="shared" ca="1" si="1"/>
        <v>19.2</v>
      </c>
      <c r="N11" s="2">
        <f t="shared" ca="1" si="1"/>
        <v>16.8</v>
      </c>
      <c r="O11" s="2">
        <f t="shared" ca="1" si="1"/>
        <v>14.400000000000002</v>
      </c>
      <c r="P11" s="2">
        <f t="shared" ca="1" si="1"/>
        <v>12</v>
      </c>
      <c r="Q11" s="2">
        <f t="shared" ca="1" si="1"/>
        <v>9.6000000000000014</v>
      </c>
      <c r="R11" s="2">
        <f t="shared" ca="1" si="1"/>
        <v>7.2000000000000028</v>
      </c>
      <c r="S11" s="2">
        <f t="shared" ca="1" si="1"/>
        <v>4.8000000000000007</v>
      </c>
      <c r="T11" s="2">
        <f t="shared" ca="1" si="1"/>
        <v>2.3999999999999986</v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 x14ac:dyDescent="0.2">
      <c r="A12" s="52" t="s">
        <v>26</v>
      </c>
      <c r="C12" t="s">
        <v>24</v>
      </c>
      <c r="D12" s="2"/>
      <c r="E12" s="2"/>
      <c r="F12" s="2" t="e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#REF!</v>
      </c>
      <c r="G12" s="2" t="e">
        <f t="shared" ca="1" si="2"/>
        <v>#REF!</v>
      </c>
      <c r="H12" s="2" t="e">
        <f t="shared" ca="1" si="2"/>
        <v>#REF!</v>
      </c>
      <c r="I12" s="2" t="e">
        <f t="shared" ca="1" si="2"/>
        <v>#REF!</v>
      </c>
      <c r="J12" s="2" t="e">
        <f t="shared" ca="1" si="2"/>
        <v>#REF!</v>
      </c>
      <c r="K12" s="2" t="e">
        <f t="shared" ca="1" si="2"/>
        <v>#REF!</v>
      </c>
      <c r="L12" s="2" t="e">
        <f t="shared" ca="1" si="2"/>
        <v>#REF!</v>
      </c>
      <c r="M12" s="2" t="e">
        <f t="shared" ca="1" si="2"/>
        <v>#REF!</v>
      </c>
      <c r="N12" s="2" t="e">
        <f t="shared" ca="1" si="2"/>
        <v>#REF!</v>
      </c>
      <c r="O12" s="2" t="e">
        <f t="shared" ca="1" si="2"/>
        <v>#REF!</v>
      </c>
      <c r="P12" s="2" t="e">
        <f t="shared" ca="1" si="2"/>
        <v>#REF!</v>
      </c>
      <c r="Q12" s="2" t="e">
        <f t="shared" ca="1" si="2"/>
        <v>#REF!</v>
      </c>
      <c r="R12" s="2" t="e">
        <f t="shared" ca="1" si="2"/>
        <v>#REF!</v>
      </c>
      <c r="S12" s="2" t="e">
        <f t="shared" ca="1" si="2"/>
        <v>#REF!</v>
      </c>
      <c r="T12" s="2" t="e">
        <f t="shared" ca="1" si="2"/>
        <v>#REF!</v>
      </c>
      <c r="U12" s="2" t="e">
        <f t="shared" ca="1" si="2"/>
        <v>#REF!</v>
      </c>
      <c r="V12" s="2" t="e">
        <f t="shared" ca="1" si="2"/>
        <v>#REF!</v>
      </c>
      <c r="W12" s="2" t="e">
        <f t="shared" ca="1" si="2"/>
        <v>#REF!</v>
      </c>
      <c r="X12" s="2" t="e">
        <f t="shared" ca="1" si="2"/>
        <v>#REF!</v>
      </c>
      <c r="Y12" s="2" t="e">
        <f t="shared" ca="1" si="2"/>
        <v>#REF!</v>
      </c>
      <c r="Z12" s="2" t="e">
        <f t="shared" ca="1" si="2"/>
        <v>#REF!</v>
      </c>
      <c r="AA12" s="2" t="e">
        <f t="shared" ca="1" si="2"/>
        <v>#REF!</v>
      </c>
      <c r="AB12" s="2" t="e">
        <f t="shared" ca="1" si="2"/>
        <v>#REF!</v>
      </c>
      <c r="AC12" s="2" t="e">
        <f t="shared" ca="1" si="2"/>
        <v>#REF!</v>
      </c>
      <c r="AD12" s="2" t="e">
        <f t="shared" ca="1" si="2"/>
        <v>#REF!</v>
      </c>
    </row>
    <row r="13" spans="1:30" customFormat="1" hidden="1" x14ac:dyDescent="0.2">
      <c r="A13" s="52" t="s">
        <v>27</v>
      </c>
      <c r="C13" t="s">
        <v>25</v>
      </c>
      <c r="D13" s="2">
        <f ca="1">IF(DoneDays&gt;B10,B10,DoneDays)</f>
        <v>0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65" t="s">
        <v>7</v>
      </c>
      <c r="B14" s="69" t="s">
        <v>21</v>
      </c>
      <c r="C14" s="65" t="s">
        <v>8</v>
      </c>
      <c r="D14" s="65" t="s">
        <v>3</v>
      </c>
      <c r="E14" s="69" t="s">
        <v>10</v>
      </c>
      <c r="F14" s="69">
        <v>1</v>
      </c>
      <c r="G14" s="69">
        <f t="shared" ref="G14:AD14" si="3">IF($B$9&gt;F14,F14+1,"")</f>
        <v>2</v>
      </c>
      <c r="H14" s="69">
        <f t="shared" si="3"/>
        <v>3</v>
      </c>
      <c r="I14" s="69">
        <f t="shared" si="3"/>
        <v>4</v>
      </c>
      <c r="J14" s="69">
        <f t="shared" si="3"/>
        <v>5</v>
      </c>
      <c r="K14" s="69">
        <f t="shared" si="3"/>
        <v>6</v>
      </c>
      <c r="L14" s="69">
        <f t="shared" si="3"/>
        <v>7</v>
      </c>
      <c r="M14" s="69">
        <f t="shared" si="3"/>
        <v>8</v>
      </c>
      <c r="N14" s="69">
        <f t="shared" si="3"/>
        <v>9</v>
      </c>
      <c r="O14" s="69">
        <f t="shared" si="3"/>
        <v>10</v>
      </c>
      <c r="P14" s="69">
        <f t="shared" si="3"/>
        <v>11</v>
      </c>
      <c r="Q14" s="69">
        <f t="shared" si="3"/>
        <v>12</v>
      </c>
      <c r="R14" s="69">
        <f t="shared" si="3"/>
        <v>13</v>
      </c>
      <c r="S14" s="69">
        <f t="shared" si="3"/>
        <v>14</v>
      </c>
      <c r="T14" s="69">
        <f t="shared" si="3"/>
        <v>15</v>
      </c>
      <c r="U14" s="69" t="str">
        <f t="shared" si="3"/>
        <v/>
      </c>
      <c r="V14" s="69" t="str">
        <f t="shared" si="3"/>
        <v/>
      </c>
      <c r="W14" s="69" t="str">
        <f t="shared" si="3"/>
        <v/>
      </c>
      <c r="X14" s="69" t="str">
        <f t="shared" si="3"/>
        <v/>
      </c>
      <c r="Y14" s="69" t="str">
        <f t="shared" si="3"/>
        <v/>
      </c>
      <c r="Z14" s="69" t="str">
        <f t="shared" si="3"/>
        <v/>
      </c>
      <c r="AA14" s="69" t="str">
        <f t="shared" si="3"/>
        <v/>
      </c>
      <c r="AB14" s="69" t="str">
        <f t="shared" si="3"/>
        <v/>
      </c>
      <c r="AC14" s="69" t="str">
        <f t="shared" si="3"/>
        <v/>
      </c>
      <c r="AD14" s="69" t="str">
        <f t="shared" si="3"/>
        <v/>
      </c>
    </row>
    <row r="15" spans="1:30" x14ac:dyDescent="0.2">
      <c r="A15" s="111" t="s">
        <v>108</v>
      </c>
      <c r="B15" s="2">
        <v>1</v>
      </c>
      <c r="C15" s="111" t="s">
        <v>109</v>
      </c>
      <c r="D15" t="s">
        <v>121</v>
      </c>
      <c r="E15" s="2">
        <v>5</v>
      </c>
      <c r="F15" s="2">
        <v>5</v>
      </c>
      <c r="G15" s="2">
        <v>5</v>
      </c>
      <c r="H15" s="2">
        <v>5</v>
      </c>
      <c r="I15" s="2">
        <v>5</v>
      </c>
      <c r="J15" s="2">
        <v>5</v>
      </c>
      <c r="K15" s="32">
        <v>3</v>
      </c>
      <c r="L15" s="32">
        <v>2</v>
      </c>
      <c r="M15" s="32">
        <v>2</v>
      </c>
      <c r="N15" s="32">
        <v>0</v>
      </c>
      <c r="O15" s="32">
        <v>0</v>
      </c>
      <c r="P15" s="32">
        <v>0</v>
      </c>
      <c r="Q15" s="32">
        <v>0</v>
      </c>
      <c r="R15" s="32">
        <v>0</v>
      </c>
      <c r="S15" s="32">
        <v>0</v>
      </c>
      <c r="T15" s="32">
        <v>0</v>
      </c>
    </row>
    <row r="16" spans="1:30" x14ac:dyDescent="0.2">
      <c r="A16" s="111" t="s">
        <v>120</v>
      </c>
      <c r="B16" s="2">
        <v>1</v>
      </c>
      <c r="C16" s="111" t="s">
        <v>110</v>
      </c>
      <c r="D16" t="s">
        <v>121</v>
      </c>
      <c r="E16" s="32">
        <v>3</v>
      </c>
      <c r="F16" s="2">
        <v>2</v>
      </c>
      <c r="G16" s="2">
        <v>2</v>
      </c>
      <c r="H16" s="2">
        <v>0</v>
      </c>
      <c r="I16" s="2">
        <v>0</v>
      </c>
      <c r="J16" s="2">
        <v>0</v>
      </c>
      <c r="K16" s="32">
        <v>0</v>
      </c>
      <c r="L16" s="32">
        <v>0</v>
      </c>
      <c r="M16" s="2">
        <v>0</v>
      </c>
      <c r="N16" s="2">
        <v>0</v>
      </c>
      <c r="O16" s="2">
        <v>0</v>
      </c>
      <c r="P16" s="32">
        <v>0</v>
      </c>
      <c r="Q16" s="32">
        <v>0</v>
      </c>
      <c r="R16" s="2">
        <v>0</v>
      </c>
      <c r="S16" s="32">
        <v>0</v>
      </c>
      <c r="T16" s="32">
        <v>0</v>
      </c>
    </row>
    <row r="17" spans="1:30" x14ac:dyDescent="0.2">
      <c r="A17" s="111" t="s">
        <v>111</v>
      </c>
      <c r="B17" s="2">
        <v>1</v>
      </c>
      <c r="C17" s="111" t="s">
        <v>112</v>
      </c>
      <c r="D17" t="s">
        <v>121</v>
      </c>
      <c r="E17" s="32">
        <v>1</v>
      </c>
      <c r="F17" s="2">
        <v>1</v>
      </c>
      <c r="G17" s="2">
        <v>1</v>
      </c>
      <c r="H17" s="2">
        <v>0</v>
      </c>
      <c r="I17" s="2">
        <v>0</v>
      </c>
      <c r="J17" s="2">
        <v>0</v>
      </c>
      <c r="K17" s="32">
        <v>0</v>
      </c>
      <c r="L17" s="32">
        <v>0</v>
      </c>
      <c r="M17" s="2">
        <v>0</v>
      </c>
      <c r="N17" s="2">
        <v>0</v>
      </c>
      <c r="O17" s="2">
        <v>0</v>
      </c>
      <c r="P17" s="32">
        <v>0</v>
      </c>
      <c r="Q17" s="32">
        <v>0</v>
      </c>
      <c r="R17" s="2">
        <v>0</v>
      </c>
      <c r="S17" s="32">
        <v>0</v>
      </c>
      <c r="T17" s="32">
        <v>0</v>
      </c>
    </row>
    <row r="18" spans="1:30" x14ac:dyDescent="0.2">
      <c r="A18" s="104" t="s">
        <v>113</v>
      </c>
      <c r="B18" s="32">
        <v>1</v>
      </c>
      <c r="C18" s="104" t="s">
        <v>112</v>
      </c>
      <c r="D18" t="s">
        <v>121</v>
      </c>
      <c r="E18" s="32">
        <v>8</v>
      </c>
      <c r="F18" s="2">
        <v>6</v>
      </c>
      <c r="G18" s="2">
        <v>6</v>
      </c>
      <c r="H18" s="2">
        <v>5</v>
      </c>
      <c r="I18" s="2">
        <v>5</v>
      </c>
      <c r="J18" s="2">
        <v>5</v>
      </c>
      <c r="K18" s="32">
        <v>4</v>
      </c>
      <c r="L18" s="32">
        <v>2</v>
      </c>
      <c r="M18" s="32">
        <v>2</v>
      </c>
      <c r="N18" s="32">
        <v>0</v>
      </c>
      <c r="O18" s="32">
        <v>0</v>
      </c>
      <c r="P18" s="32">
        <v>0</v>
      </c>
      <c r="Q18" s="32">
        <v>0</v>
      </c>
      <c r="R18" s="32">
        <v>0</v>
      </c>
      <c r="S18" s="32">
        <v>0</v>
      </c>
      <c r="T18" s="32">
        <v>0</v>
      </c>
    </row>
    <row r="19" spans="1:30" x14ac:dyDescent="0.2">
      <c r="A19" s="104" t="s">
        <v>114</v>
      </c>
      <c r="B19" s="32">
        <v>4</v>
      </c>
      <c r="C19" s="104" t="s">
        <v>110</v>
      </c>
      <c r="D19" t="s">
        <v>121</v>
      </c>
      <c r="E19" s="32">
        <v>6</v>
      </c>
      <c r="F19" s="2">
        <v>5</v>
      </c>
      <c r="G19" s="2">
        <v>5</v>
      </c>
      <c r="H19" s="32">
        <v>5</v>
      </c>
      <c r="I19" s="32">
        <v>5</v>
      </c>
      <c r="J19" s="32">
        <v>5</v>
      </c>
      <c r="K19" s="32">
        <v>4</v>
      </c>
      <c r="L19" s="32">
        <v>4</v>
      </c>
      <c r="M19" s="32">
        <v>4</v>
      </c>
      <c r="N19" s="32">
        <v>4</v>
      </c>
      <c r="O19" s="32">
        <v>2</v>
      </c>
      <c r="P19" s="32">
        <v>2</v>
      </c>
      <c r="Q19" s="32">
        <v>0</v>
      </c>
      <c r="R19" s="32">
        <v>0</v>
      </c>
      <c r="S19" s="32">
        <v>0</v>
      </c>
      <c r="T19" s="32">
        <v>0</v>
      </c>
    </row>
    <row r="20" spans="1:30" x14ac:dyDescent="0.2">
      <c r="A20" s="104" t="s">
        <v>118</v>
      </c>
      <c r="B20" s="32">
        <v>2</v>
      </c>
      <c r="C20" s="104" t="s">
        <v>109</v>
      </c>
      <c r="D20" t="s">
        <v>121</v>
      </c>
      <c r="E20" s="32">
        <v>2</v>
      </c>
      <c r="F20" s="2">
        <v>2</v>
      </c>
      <c r="G20" s="2">
        <v>2</v>
      </c>
      <c r="H20" s="32">
        <v>2</v>
      </c>
      <c r="I20" s="32">
        <v>2</v>
      </c>
      <c r="J20" s="32">
        <v>2</v>
      </c>
      <c r="K20" s="32">
        <v>2</v>
      </c>
      <c r="L20" s="32">
        <v>0</v>
      </c>
      <c r="M20" s="32">
        <v>0</v>
      </c>
      <c r="N20" s="32">
        <v>0</v>
      </c>
      <c r="O20" s="32">
        <v>0</v>
      </c>
      <c r="P20" s="32">
        <v>0</v>
      </c>
      <c r="Q20" s="32">
        <v>0</v>
      </c>
      <c r="R20" s="32">
        <v>0</v>
      </c>
      <c r="S20" s="32">
        <v>0</v>
      </c>
      <c r="T20" s="32">
        <v>0</v>
      </c>
    </row>
    <row r="21" spans="1:30" ht="17.25" customHeight="1" x14ac:dyDescent="0.2">
      <c r="A21" s="103" t="s">
        <v>117</v>
      </c>
      <c r="B21" s="32">
        <v>3</v>
      </c>
      <c r="C21" s="104" t="s">
        <v>109</v>
      </c>
      <c r="D21" t="s">
        <v>121</v>
      </c>
      <c r="E21" s="32">
        <v>1</v>
      </c>
      <c r="F21" s="2">
        <v>1</v>
      </c>
      <c r="G21" s="2">
        <v>1</v>
      </c>
      <c r="H21" s="32">
        <v>1</v>
      </c>
      <c r="I21" s="32">
        <v>1</v>
      </c>
      <c r="J21" s="32">
        <v>1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32">
        <v>0</v>
      </c>
      <c r="Q21" s="32">
        <v>0</v>
      </c>
      <c r="R21" s="32">
        <v>0</v>
      </c>
      <c r="S21" s="32">
        <v>0</v>
      </c>
      <c r="T21" s="32">
        <v>0</v>
      </c>
    </row>
    <row r="22" spans="1:30" x14ac:dyDescent="0.2">
      <c r="A22" s="103" t="s">
        <v>115</v>
      </c>
      <c r="B22" s="32">
        <v>1</v>
      </c>
      <c r="C22" s="104" t="s">
        <v>110</v>
      </c>
      <c r="D22" t="s">
        <v>121</v>
      </c>
      <c r="E22" s="32">
        <v>4</v>
      </c>
      <c r="F22" s="32">
        <v>4</v>
      </c>
      <c r="G22" s="32">
        <v>4</v>
      </c>
      <c r="H22" s="32">
        <v>4</v>
      </c>
      <c r="I22" s="32">
        <v>4</v>
      </c>
      <c r="J22" s="32">
        <v>4</v>
      </c>
      <c r="K22" s="32">
        <v>4</v>
      </c>
      <c r="L22" s="32">
        <v>4</v>
      </c>
      <c r="M22" s="32">
        <v>4</v>
      </c>
      <c r="N22" s="32">
        <v>4</v>
      </c>
      <c r="O22" s="32">
        <v>4</v>
      </c>
      <c r="P22" s="32">
        <v>4</v>
      </c>
      <c r="Q22" s="32">
        <v>2</v>
      </c>
      <c r="R22" s="32">
        <v>1</v>
      </c>
      <c r="S22" s="32">
        <v>1</v>
      </c>
      <c r="T22" s="32">
        <v>0</v>
      </c>
    </row>
    <row r="23" spans="1:30" ht="15" customHeight="1" x14ac:dyDescent="0.2">
      <c r="A23" s="103" t="s">
        <v>119</v>
      </c>
      <c r="B23" s="32">
        <v>1</v>
      </c>
      <c r="C23" s="104" t="s">
        <v>112</v>
      </c>
      <c r="D23" t="s">
        <v>121</v>
      </c>
      <c r="E23" s="32">
        <v>6</v>
      </c>
      <c r="F23" s="32">
        <v>6</v>
      </c>
      <c r="G23" s="32">
        <v>6</v>
      </c>
      <c r="H23" s="32">
        <v>6</v>
      </c>
      <c r="I23" s="32">
        <v>6</v>
      </c>
      <c r="J23" s="32">
        <v>6</v>
      </c>
      <c r="K23" s="32">
        <v>6</v>
      </c>
      <c r="L23" s="32">
        <v>6</v>
      </c>
      <c r="M23" s="32">
        <v>6</v>
      </c>
      <c r="N23" s="32">
        <v>4</v>
      </c>
      <c r="O23" s="32">
        <v>3</v>
      </c>
      <c r="P23" s="32">
        <v>3</v>
      </c>
      <c r="Q23" s="32">
        <v>2</v>
      </c>
      <c r="R23" s="32">
        <v>0</v>
      </c>
      <c r="S23" s="32">
        <v>0</v>
      </c>
      <c r="T23" s="32">
        <v>0</v>
      </c>
    </row>
    <row r="24" spans="1:30" x14ac:dyDescent="0.2">
      <c r="A24" s="31"/>
      <c r="C24" s="104"/>
      <c r="D24"/>
      <c r="E24" s="32">
        <f>SUM(E15:E23)</f>
        <v>36</v>
      </c>
      <c r="H24" s="102"/>
    </row>
    <row r="25" spans="1:30" x14ac:dyDescent="0.2">
      <c r="A25" s="31"/>
      <c r="C25" s="104"/>
      <c r="D25"/>
    </row>
    <row r="26" spans="1:30" x14ac:dyDescent="0.2">
      <c r="A26" s="31"/>
      <c r="C26" s="104"/>
      <c r="D26"/>
    </row>
    <row r="27" spans="1:30" x14ac:dyDescent="0.2">
      <c r="A27" s="31"/>
      <c r="C27" s="104"/>
      <c r="D27"/>
      <c r="AC27" s="32" t="str">
        <f t="shared" ref="AC27:AD35" si="4">IF(OR(AC$14="",$E27=""),"",AB27)</f>
        <v/>
      </c>
      <c r="AD27" s="32" t="str">
        <f t="shared" si="4"/>
        <v/>
      </c>
    </row>
    <row r="28" spans="1:30" x14ac:dyDescent="0.2">
      <c r="A28" s="31"/>
      <c r="C28" s="104"/>
      <c r="D28"/>
      <c r="AC28" s="32" t="str">
        <f t="shared" si="4"/>
        <v/>
      </c>
      <c r="AD28" s="32" t="str">
        <f t="shared" si="4"/>
        <v/>
      </c>
    </row>
    <row r="29" spans="1:30" x14ac:dyDescent="0.2">
      <c r="A29" s="31"/>
      <c r="C29" s="104"/>
      <c r="D29"/>
      <c r="AC29" s="32" t="str">
        <f t="shared" si="4"/>
        <v/>
      </c>
      <c r="AD29" s="32" t="str">
        <f t="shared" si="4"/>
        <v/>
      </c>
    </row>
    <row r="30" spans="1:30" x14ac:dyDescent="0.2">
      <c r="A30" s="31"/>
      <c r="C30" s="104"/>
      <c r="D30"/>
      <c r="AC30" s="32" t="str">
        <f t="shared" si="4"/>
        <v/>
      </c>
      <c r="AD30" s="32" t="str">
        <f t="shared" si="4"/>
        <v/>
      </c>
    </row>
    <row r="31" spans="1:30" x14ac:dyDescent="0.2">
      <c r="A31" s="31"/>
      <c r="C31" s="104"/>
      <c r="D31"/>
      <c r="AC31" s="32" t="str">
        <f t="shared" si="4"/>
        <v/>
      </c>
      <c r="AD31" s="32" t="str">
        <f t="shared" si="4"/>
        <v/>
      </c>
    </row>
    <row r="32" spans="1:30" x14ac:dyDescent="0.2">
      <c r="A32" s="31"/>
      <c r="C32" s="104"/>
      <c r="D32"/>
      <c r="AC32" s="32" t="str">
        <f t="shared" si="4"/>
        <v/>
      </c>
      <c r="AD32" s="32" t="str">
        <f t="shared" si="4"/>
        <v/>
      </c>
    </row>
    <row r="33" spans="1:30" x14ac:dyDescent="0.2">
      <c r="A33" s="31"/>
      <c r="C33" s="104"/>
      <c r="D33"/>
      <c r="AC33" s="32" t="str">
        <f t="shared" si="4"/>
        <v/>
      </c>
      <c r="AD33" s="32" t="str">
        <f t="shared" si="4"/>
        <v/>
      </c>
    </row>
    <row r="34" spans="1:30" x14ac:dyDescent="0.2">
      <c r="A34" s="103"/>
      <c r="C34" s="104"/>
      <c r="D34"/>
      <c r="AC34" s="32" t="str">
        <f t="shared" si="4"/>
        <v/>
      </c>
      <c r="AD34" s="32" t="str">
        <f t="shared" si="4"/>
        <v/>
      </c>
    </row>
    <row r="35" spans="1:30" x14ac:dyDescent="0.2">
      <c r="A35" s="103"/>
      <c r="C35" s="104"/>
      <c r="D35"/>
      <c r="AC35" s="32" t="str">
        <f t="shared" si="4"/>
        <v/>
      </c>
      <c r="AD35" s="32" t="str">
        <f t="shared" si="4"/>
        <v/>
      </c>
    </row>
    <row r="36" spans="1:30" x14ac:dyDescent="0.2">
      <c r="A36" s="31"/>
      <c r="C36"/>
      <c r="AC36" s="32" t="str">
        <f t="shared" ref="AC36:AD40" si="5">IF(OR(AC$14="",$E36=""),"",AB36)</f>
        <v/>
      </c>
      <c r="AD36" s="32" t="str">
        <f t="shared" si="5"/>
        <v/>
      </c>
    </row>
    <row r="37" spans="1:30" x14ac:dyDescent="0.2">
      <c r="A37" s="31"/>
      <c r="C37"/>
      <c r="AC37" s="32" t="str">
        <f t="shared" si="5"/>
        <v/>
      </c>
      <c r="AD37" s="32" t="str">
        <f t="shared" si="5"/>
        <v/>
      </c>
    </row>
    <row r="38" spans="1:30" x14ac:dyDescent="0.2">
      <c r="A38" s="31"/>
      <c r="C38"/>
      <c r="AC38" s="32" t="str">
        <f t="shared" si="5"/>
        <v/>
      </c>
      <c r="AD38" s="32" t="str">
        <f t="shared" si="5"/>
        <v/>
      </c>
    </row>
    <row r="39" spans="1:30" x14ac:dyDescent="0.2">
      <c r="A39" s="31"/>
      <c r="C39"/>
      <c r="AC39" s="32" t="str">
        <f t="shared" si="5"/>
        <v/>
      </c>
      <c r="AD39" s="32" t="str">
        <f t="shared" si="5"/>
        <v/>
      </c>
    </row>
    <row r="40" spans="1:30" x14ac:dyDescent="0.2">
      <c r="A40" s="31"/>
      <c r="C40"/>
      <c r="AC40" s="32" t="str">
        <f t="shared" si="5"/>
        <v/>
      </c>
      <c r="AD40" s="32" t="str">
        <f t="shared" si="5"/>
        <v/>
      </c>
    </row>
    <row r="41" spans="1:30" x14ac:dyDescent="0.2">
      <c r="A41" s="31"/>
      <c r="C41"/>
      <c r="D41" s="33" t="str">
        <f t="shared" ref="D41:D64" si="6">IF(A41&lt;&gt;"","Planned","")</f>
        <v/>
      </c>
      <c r="F41" s="32" t="str">
        <f t="shared" ref="F41:F63" si="7">IF(OR(F$14="",$E41=""),"",E41)</f>
        <v/>
      </c>
      <c r="AC41" s="32" t="str">
        <f t="shared" ref="AC41:AD59" si="8">IF(OR(AC$14="",$E41=""),"",AB41)</f>
        <v/>
      </c>
      <c r="AD41" s="32" t="str">
        <f t="shared" si="8"/>
        <v/>
      </c>
    </row>
    <row r="42" spans="1:30" x14ac:dyDescent="0.2">
      <c r="C42"/>
      <c r="D42" s="33" t="str">
        <f t="shared" si="6"/>
        <v/>
      </c>
      <c r="F42" s="32" t="str">
        <f t="shared" si="7"/>
        <v/>
      </c>
      <c r="AC42" s="32" t="str">
        <f t="shared" si="8"/>
        <v/>
      </c>
      <c r="AD42" s="32" t="str">
        <f t="shared" si="8"/>
        <v/>
      </c>
    </row>
    <row r="43" spans="1:30" x14ac:dyDescent="0.2">
      <c r="C43"/>
      <c r="D43" s="33" t="str">
        <f t="shared" si="6"/>
        <v/>
      </c>
      <c r="F43" s="32" t="str">
        <f t="shared" si="7"/>
        <v/>
      </c>
      <c r="AC43" s="32" t="str">
        <f t="shared" si="8"/>
        <v/>
      </c>
      <c r="AD43" s="32" t="str">
        <f t="shared" si="8"/>
        <v/>
      </c>
    </row>
    <row r="44" spans="1:30" x14ac:dyDescent="0.2">
      <c r="C44"/>
      <c r="D44" s="33" t="str">
        <f t="shared" si="6"/>
        <v/>
      </c>
      <c r="F44" s="32" t="str">
        <f t="shared" si="7"/>
        <v/>
      </c>
      <c r="AC44" s="32" t="str">
        <f t="shared" si="8"/>
        <v/>
      </c>
      <c r="AD44" s="32" t="str">
        <f t="shared" si="8"/>
        <v/>
      </c>
    </row>
    <row r="45" spans="1:30" x14ac:dyDescent="0.2">
      <c r="C45"/>
      <c r="D45" s="33" t="str">
        <f t="shared" si="6"/>
        <v/>
      </c>
      <c r="F45" s="32" t="str">
        <f t="shared" si="7"/>
        <v/>
      </c>
      <c r="AC45" s="32" t="str">
        <f t="shared" si="8"/>
        <v/>
      </c>
      <c r="AD45" s="32" t="str">
        <f t="shared" si="8"/>
        <v/>
      </c>
    </row>
    <row r="46" spans="1:30" x14ac:dyDescent="0.2">
      <c r="C46"/>
      <c r="D46" s="33" t="str">
        <f t="shared" si="6"/>
        <v/>
      </c>
      <c r="F46" s="32" t="str">
        <f t="shared" si="7"/>
        <v/>
      </c>
      <c r="AC46" s="32" t="str">
        <f t="shared" si="8"/>
        <v/>
      </c>
      <c r="AD46" s="32" t="str">
        <f t="shared" si="8"/>
        <v/>
      </c>
    </row>
    <row r="47" spans="1:30" x14ac:dyDescent="0.2">
      <c r="C47"/>
      <c r="D47" s="33" t="str">
        <f t="shared" si="6"/>
        <v/>
      </c>
      <c r="F47" s="32" t="str">
        <f t="shared" si="7"/>
        <v/>
      </c>
      <c r="AC47" s="32" t="str">
        <f t="shared" si="8"/>
        <v/>
      </c>
      <c r="AD47" s="32" t="str">
        <f t="shared" si="8"/>
        <v/>
      </c>
    </row>
    <row r="48" spans="1:30" x14ac:dyDescent="0.2">
      <c r="C48"/>
      <c r="D48" s="33" t="str">
        <f t="shared" si="6"/>
        <v/>
      </c>
      <c r="F48" s="32" t="str">
        <f t="shared" si="7"/>
        <v/>
      </c>
      <c r="AC48" s="32" t="str">
        <f t="shared" si="8"/>
        <v/>
      </c>
      <c r="AD48" s="32" t="str">
        <f t="shared" si="8"/>
        <v/>
      </c>
    </row>
    <row r="49" spans="3:30" s="33" customFormat="1" x14ac:dyDescent="0.2">
      <c r="C49"/>
      <c r="D49" s="33" t="str">
        <f t="shared" si="6"/>
        <v/>
      </c>
      <c r="E49" s="32"/>
      <c r="F49" s="32" t="str">
        <f t="shared" si="7"/>
        <v/>
      </c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 t="str">
        <f t="shared" si="8"/>
        <v/>
      </c>
      <c r="AD49" s="32" t="str">
        <f t="shared" si="8"/>
        <v/>
      </c>
    </row>
    <row r="50" spans="3:30" s="33" customFormat="1" x14ac:dyDescent="0.2">
      <c r="C50"/>
      <c r="D50" s="33" t="str">
        <f t="shared" si="6"/>
        <v/>
      </c>
      <c r="E50" s="32"/>
      <c r="F50" s="32" t="str">
        <f t="shared" si="7"/>
        <v/>
      </c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 t="str">
        <f t="shared" si="8"/>
        <v/>
      </c>
      <c r="AD50" s="32" t="str">
        <f t="shared" si="8"/>
        <v/>
      </c>
    </row>
    <row r="51" spans="3:30" s="33" customFormat="1" x14ac:dyDescent="0.2">
      <c r="C51"/>
      <c r="D51" s="33" t="str">
        <f t="shared" si="6"/>
        <v/>
      </c>
      <c r="E51" s="32"/>
      <c r="F51" s="32" t="str">
        <f t="shared" si="7"/>
        <v/>
      </c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 t="str">
        <f t="shared" si="8"/>
        <v/>
      </c>
      <c r="AD51" s="32" t="str">
        <f t="shared" si="8"/>
        <v/>
      </c>
    </row>
    <row r="52" spans="3:30" s="33" customFormat="1" x14ac:dyDescent="0.2">
      <c r="C52"/>
      <c r="D52" s="33" t="str">
        <f t="shared" si="6"/>
        <v/>
      </c>
      <c r="E52" s="32"/>
      <c r="F52" s="32" t="str">
        <f t="shared" si="7"/>
        <v/>
      </c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 t="str">
        <f t="shared" si="8"/>
        <v/>
      </c>
      <c r="AD52" s="32" t="str">
        <f t="shared" si="8"/>
        <v/>
      </c>
    </row>
    <row r="53" spans="3:30" s="33" customFormat="1" x14ac:dyDescent="0.2">
      <c r="C53"/>
      <c r="D53" s="33" t="str">
        <f t="shared" si="6"/>
        <v/>
      </c>
      <c r="E53" s="32"/>
      <c r="F53" s="32" t="str">
        <f t="shared" si="7"/>
        <v/>
      </c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 t="str">
        <f t="shared" si="8"/>
        <v/>
      </c>
      <c r="AD53" s="32" t="str">
        <f t="shared" si="8"/>
        <v/>
      </c>
    </row>
    <row r="54" spans="3:30" s="33" customFormat="1" x14ac:dyDescent="0.2">
      <c r="C54"/>
      <c r="D54" s="33" t="str">
        <f t="shared" si="6"/>
        <v/>
      </c>
      <c r="E54" s="32"/>
      <c r="F54" s="32" t="str">
        <f t="shared" si="7"/>
        <v/>
      </c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 t="str">
        <f t="shared" si="8"/>
        <v/>
      </c>
      <c r="AD54" s="32" t="str">
        <f t="shared" si="8"/>
        <v/>
      </c>
    </row>
    <row r="55" spans="3:30" s="33" customFormat="1" x14ac:dyDescent="0.2">
      <c r="C55"/>
      <c r="D55" s="33" t="str">
        <f t="shared" si="6"/>
        <v/>
      </c>
      <c r="E55" s="32"/>
      <c r="F55" s="32" t="str">
        <f t="shared" si="7"/>
        <v/>
      </c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 t="str">
        <f t="shared" si="8"/>
        <v/>
      </c>
      <c r="AD55" s="32" t="str">
        <f t="shared" si="8"/>
        <v/>
      </c>
    </row>
    <row r="56" spans="3:30" s="33" customFormat="1" x14ac:dyDescent="0.2">
      <c r="C56"/>
      <c r="D56" s="33" t="str">
        <f t="shared" si="6"/>
        <v/>
      </c>
      <c r="E56" s="32"/>
      <c r="F56" s="32" t="str">
        <f t="shared" si="7"/>
        <v/>
      </c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 t="str">
        <f t="shared" si="8"/>
        <v/>
      </c>
      <c r="AD56" s="32" t="str">
        <f t="shared" si="8"/>
        <v/>
      </c>
    </row>
    <row r="57" spans="3:30" s="33" customFormat="1" x14ac:dyDescent="0.2">
      <c r="C57"/>
      <c r="D57" s="33" t="str">
        <f t="shared" si="6"/>
        <v/>
      </c>
      <c r="E57" s="32"/>
      <c r="F57" s="32" t="str">
        <f t="shared" si="7"/>
        <v/>
      </c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 t="str">
        <f t="shared" si="8"/>
        <v/>
      </c>
      <c r="AD57" s="32" t="str">
        <f t="shared" si="8"/>
        <v/>
      </c>
    </row>
    <row r="58" spans="3:30" s="33" customFormat="1" x14ac:dyDescent="0.2">
      <c r="C58"/>
      <c r="D58" s="33" t="str">
        <f t="shared" si="6"/>
        <v/>
      </c>
      <c r="E58" s="32"/>
      <c r="F58" s="32" t="str">
        <f t="shared" si="7"/>
        <v/>
      </c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 t="str">
        <f t="shared" si="8"/>
        <v/>
      </c>
      <c r="AD58" s="32" t="str">
        <f t="shared" si="8"/>
        <v/>
      </c>
    </row>
    <row r="59" spans="3:30" s="33" customFormat="1" x14ac:dyDescent="0.2">
      <c r="C59"/>
      <c r="D59" s="33" t="str">
        <f t="shared" si="6"/>
        <v/>
      </c>
      <c r="E59" s="32"/>
      <c r="F59" s="32" t="str">
        <f t="shared" si="7"/>
        <v/>
      </c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 t="str">
        <f t="shared" si="8"/>
        <v/>
      </c>
      <c r="AD59" s="32" t="str">
        <f t="shared" si="8"/>
        <v/>
      </c>
    </row>
    <row r="60" spans="3:30" s="33" customFormat="1" x14ac:dyDescent="0.2">
      <c r="C60"/>
      <c r="D60" s="33" t="str">
        <f t="shared" si="6"/>
        <v/>
      </c>
      <c r="E60" s="32"/>
      <c r="F60" s="32" t="str">
        <f t="shared" si="7"/>
        <v/>
      </c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 t="str">
        <f t="shared" ref="AC60:AD63" si="9">IF(OR(AC$14="",$E60=""),"",AB60)</f>
        <v/>
      </c>
      <c r="AD60" s="32" t="str">
        <f t="shared" si="9"/>
        <v/>
      </c>
    </row>
    <row r="61" spans="3:30" s="33" customFormat="1" x14ac:dyDescent="0.2">
      <c r="C61"/>
      <c r="D61" s="33" t="str">
        <f t="shared" si="6"/>
        <v/>
      </c>
      <c r="E61" s="32"/>
      <c r="F61" s="32" t="str">
        <f t="shared" si="7"/>
        <v/>
      </c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 t="str">
        <f t="shared" si="9"/>
        <v/>
      </c>
      <c r="AD61" s="32" t="str">
        <f t="shared" si="9"/>
        <v/>
      </c>
    </row>
    <row r="62" spans="3:30" s="33" customFormat="1" x14ac:dyDescent="0.2">
      <c r="C62"/>
      <c r="D62" s="33" t="str">
        <f t="shared" si="6"/>
        <v/>
      </c>
      <c r="E62" s="32"/>
      <c r="F62" s="32" t="str">
        <f t="shared" si="7"/>
        <v/>
      </c>
      <c r="G62" s="32" t="str">
        <f t="shared" ref="G62:AB62" si="10">IF(OR(G$14="",$E62=""),"",F62)</f>
        <v/>
      </c>
      <c r="H62" s="32" t="str">
        <f t="shared" si="10"/>
        <v/>
      </c>
      <c r="I62" s="32" t="str">
        <f t="shared" si="10"/>
        <v/>
      </c>
      <c r="J62" s="32" t="str">
        <f t="shared" si="10"/>
        <v/>
      </c>
      <c r="K62" s="32" t="str">
        <f t="shared" si="10"/>
        <v/>
      </c>
      <c r="L62" s="32" t="str">
        <f t="shared" si="10"/>
        <v/>
      </c>
      <c r="M62" s="32" t="str">
        <f t="shared" si="10"/>
        <v/>
      </c>
      <c r="N62" s="32" t="str">
        <f t="shared" si="10"/>
        <v/>
      </c>
      <c r="O62" s="32" t="str">
        <f t="shared" si="10"/>
        <v/>
      </c>
      <c r="P62" s="32" t="str">
        <f t="shared" si="10"/>
        <v/>
      </c>
      <c r="Q62" s="32" t="str">
        <f t="shared" si="10"/>
        <v/>
      </c>
      <c r="R62" s="32" t="str">
        <f t="shared" si="10"/>
        <v/>
      </c>
      <c r="S62" s="32" t="str">
        <f t="shared" si="10"/>
        <v/>
      </c>
      <c r="T62" s="32" t="str">
        <f t="shared" si="10"/>
        <v/>
      </c>
      <c r="U62" s="32" t="str">
        <f t="shared" si="10"/>
        <v/>
      </c>
      <c r="V62" s="32" t="str">
        <f t="shared" si="10"/>
        <v/>
      </c>
      <c r="W62" s="32" t="str">
        <f t="shared" si="10"/>
        <v/>
      </c>
      <c r="X62" s="32" t="str">
        <f t="shared" si="10"/>
        <v/>
      </c>
      <c r="Y62" s="32" t="str">
        <f t="shared" si="10"/>
        <v/>
      </c>
      <c r="Z62" s="32" t="str">
        <f t="shared" si="10"/>
        <v/>
      </c>
      <c r="AA62" s="32" t="str">
        <f t="shared" si="10"/>
        <v/>
      </c>
      <c r="AB62" s="32" t="str">
        <f t="shared" si="10"/>
        <v/>
      </c>
      <c r="AC62" s="32" t="str">
        <f t="shared" si="9"/>
        <v/>
      </c>
      <c r="AD62" s="32" t="str">
        <f t="shared" si="9"/>
        <v/>
      </c>
    </row>
    <row r="63" spans="3:30" s="33" customFormat="1" x14ac:dyDescent="0.2">
      <c r="C63"/>
      <c r="D63" s="33" t="str">
        <f t="shared" si="6"/>
        <v/>
      </c>
      <c r="E63" s="32"/>
      <c r="F63" s="32" t="str">
        <f t="shared" si="7"/>
        <v/>
      </c>
      <c r="G63" s="32" t="str">
        <f t="shared" ref="G63:AB63" si="11">IF(OR(G$14="",$E63=""),"",F63)</f>
        <v/>
      </c>
      <c r="H63" s="32" t="str">
        <f t="shared" si="11"/>
        <v/>
      </c>
      <c r="I63" s="32" t="str">
        <f t="shared" si="11"/>
        <v/>
      </c>
      <c r="J63" s="32" t="str">
        <f t="shared" si="11"/>
        <v/>
      </c>
      <c r="K63" s="32" t="str">
        <f t="shared" si="11"/>
        <v/>
      </c>
      <c r="L63" s="32" t="str">
        <f t="shared" si="11"/>
        <v/>
      </c>
      <c r="M63" s="32" t="str">
        <f t="shared" si="11"/>
        <v/>
      </c>
      <c r="N63" s="32" t="str">
        <f t="shared" si="11"/>
        <v/>
      </c>
      <c r="O63" s="32" t="str">
        <f t="shared" si="11"/>
        <v/>
      </c>
      <c r="P63" s="32" t="str">
        <f t="shared" si="11"/>
        <v/>
      </c>
      <c r="Q63" s="32" t="str">
        <f t="shared" si="11"/>
        <v/>
      </c>
      <c r="R63" s="32" t="str">
        <f t="shared" si="11"/>
        <v/>
      </c>
      <c r="S63" s="32" t="str">
        <f t="shared" si="11"/>
        <v/>
      </c>
      <c r="T63" s="32" t="str">
        <f t="shared" si="11"/>
        <v/>
      </c>
      <c r="U63" s="32" t="str">
        <f t="shared" si="11"/>
        <v/>
      </c>
      <c r="V63" s="32" t="str">
        <f t="shared" si="11"/>
        <v/>
      </c>
      <c r="W63" s="32" t="str">
        <f t="shared" si="11"/>
        <v/>
      </c>
      <c r="X63" s="32" t="str">
        <f t="shared" si="11"/>
        <v/>
      </c>
      <c r="Y63" s="32" t="str">
        <f t="shared" si="11"/>
        <v/>
      </c>
      <c r="Z63" s="32" t="str">
        <f t="shared" si="11"/>
        <v/>
      </c>
      <c r="AA63" s="32" t="str">
        <f t="shared" si="11"/>
        <v/>
      </c>
      <c r="AB63" s="32" t="str">
        <f t="shared" si="11"/>
        <v/>
      </c>
      <c r="AC63" s="32" t="str">
        <f t="shared" si="9"/>
        <v/>
      </c>
      <c r="AD63" s="32" t="str">
        <f t="shared" si="9"/>
        <v/>
      </c>
    </row>
    <row r="64" spans="3:30" s="33" customFormat="1" x14ac:dyDescent="0.2">
      <c r="C64"/>
      <c r="D64" s="33" t="str">
        <f t="shared" si="6"/>
        <v/>
      </c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</row>
    <row r="65" spans="3:3" s="33" customFormat="1" x14ac:dyDescent="0.2">
      <c r="C65"/>
    </row>
    <row r="66" spans="3:3" s="33" customFormat="1" x14ac:dyDescent="0.2">
      <c r="C66"/>
    </row>
    <row r="67" spans="3:3" s="33" customFormat="1" x14ac:dyDescent="0.2">
      <c r="C67"/>
    </row>
    <row r="68" spans="3:3" s="33" customFormat="1" x14ac:dyDescent="0.2">
      <c r="C68"/>
    </row>
    <row r="69" spans="3:3" s="33" customFormat="1" x14ac:dyDescent="0.2">
      <c r="C69"/>
    </row>
    <row r="70" spans="3:3" s="33" customFormat="1" x14ac:dyDescent="0.2">
      <c r="C70"/>
    </row>
    <row r="71" spans="3:3" s="33" customFormat="1" x14ac:dyDescent="0.2">
      <c r="C71"/>
    </row>
    <row r="72" spans="3:3" s="33" customFormat="1" x14ac:dyDescent="0.2">
      <c r="C72"/>
    </row>
    <row r="73" spans="3:3" s="33" customFormat="1" x14ac:dyDescent="0.2">
      <c r="C73"/>
    </row>
    <row r="74" spans="3:3" s="33" customFormat="1" x14ac:dyDescent="0.2">
      <c r="C74"/>
    </row>
    <row r="75" spans="3:3" s="33" customFormat="1" x14ac:dyDescent="0.2">
      <c r="C75"/>
    </row>
    <row r="76" spans="3:3" s="33" customFormat="1" x14ac:dyDescent="0.2">
      <c r="C76"/>
    </row>
    <row r="77" spans="3:3" s="33" customFormat="1" x14ac:dyDescent="0.2">
      <c r="C77"/>
    </row>
    <row r="78" spans="3:3" s="33" customFormat="1" x14ac:dyDescent="0.2">
      <c r="C78"/>
    </row>
    <row r="79" spans="3:3" s="33" customFormat="1" x14ac:dyDescent="0.2">
      <c r="C79"/>
    </row>
    <row r="80" spans="3:3" s="33" customFormat="1" x14ac:dyDescent="0.2">
      <c r="C80"/>
    </row>
    <row r="81" spans="3:3" s="33" customFormat="1" x14ac:dyDescent="0.2">
      <c r="C81"/>
    </row>
    <row r="82" spans="3:3" s="33" customFormat="1" x14ac:dyDescent="0.2">
      <c r="C82"/>
    </row>
    <row r="83" spans="3:3" s="33" customFormat="1" x14ac:dyDescent="0.2">
      <c r="C83"/>
    </row>
    <row r="84" spans="3:3" s="33" customFormat="1" x14ac:dyDescent="0.2">
      <c r="C84"/>
    </row>
    <row r="85" spans="3:3" s="33" customFormat="1" x14ac:dyDescent="0.2">
      <c r="C85"/>
    </row>
    <row r="86" spans="3:3" s="33" customFormat="1" x14ac:dyDescent="0.2">
      <c r="C86"/>
    </row>
    <row r="87" spans="3:3" s="33" customFormat="1" x14ac:dyDescent="0.2">
      <c r="C87"/>
    </row>
  </sheetData>
  <phoneticPr fontId="2" type="noConversion"/>
  <conditionalFormatting sqref="A36:AD58 A15:E17 A21:C35 D18:D35 E21 E24:AD35 E22:F23 H21:H23 K21:L23 N22:O23 N21 U21:AD21 Q22:AD23">
    <cfRule type="expression" dxfId="182" priority="57" stopIfTrue="1">
      <formula>$D15="Done"</formula>
    </cfRule>
    <cfRule type="expression" dxfId="181" priority="58" stopIfTrue="1">
      <formula>$D15="Ongoing"</formula>
    </cfRule>
  </conditionalFormatting>
  <conditionalFormatting sqref="F18:F21 H18:H20 K18:L20 N18:AD18 N20 U20:AD20 N19:O19 Q19:AD19">
    <cfRule type="expression" dxfId="180" priority="85" stopIfTrue="1">
      <formula>$D15="Done"</formula>
    </cfRule>
    <cfRule type="expression" dxfId="179" priority="86" stopIfTrue="1">
      <formula>$D15="Ongoing"</formula>
    </cfRule>
  </conditionalFormatting>
  <conditionalFormatting sqref="F15:F17 H15:H17 K15:AD15 K16:L17 U16:AD17">
    <cfRule type="expression" dxfId="178" priority="87" stopIfTrue="1">
      <formula>#REF!="Done"</formula>
    </cfRule>
    <cfRule type="expression" dxfId="177" priority="88" stopIfTrue="1">
      <formula>#REF!="Ongoing"</formula>
    </cfRule>
  </conditionalFormatting>
  <conditionalFormatting sqref="G22:G23">
    <cfRule type="expression" dxfId="176" priority="51" stopIfTrue="1">
      <formula>$D22="Done"</formula>
    </cfRule>
    <cfRule type="expression" dxfId="175" priority="52" stopIfTrue="1">
      <formula>$D22="Ongoing"</formula>
    </cfRule>
  </conditionalFormatting>
  <conditionalFormatting sqref="G18:G21">
    <cfRule type="expression" dxfId="174" priority="53" stopIfTrue="1">
      <formula>$D15="Done"</formula>
    </cfRule>
    <cfRule type="expression" dxfId="173" priority="54" stopIfTrue="1">
      <formula>$D15="Ongoing"</formula>
    </cfRule>
  </conditionalFormatting>
  <conditionalFormatting sqref="G15:G17">
    <cfRule type="expression" dxfId="172" priority="55" stopIfTrue="1">
      <formula>#REF!="Done"</formula>
    </cfRule>
    <cfRule type="expression" dxfId="171" priority="56" stopIfTrue="1">
      <formula>#REF!="Ongoing"</formula>
    </cfRule>
  </conditionalFormatting>
  <conditionalFormatting sqref="I21:I23">
    <cfRule type="expression" dxfId="170" priority="45" stopIfTrue="1">
      <formula>$D21="Done"</formula>
    </cfRule>
    <cfRule type="expression" dxfId="169" priority="46" stopIfTrue="1">
      <formula>$D21="Ongoing"</formula>
    </cfRule>
  </conditionalFormatting>
  <conditionalFormatting sqref="I18:I20">
    <cfRule type="expression" dxfId="168" priority="47" stopIfTrue="1">
      <formula>$D15="Done"</formula>
    </cfRule>
    <cfRule type="expression" dxfId="167" priority="48" stopIfTrue="1">
      <formula>$D15="Ongoing"</formula>
    </cfRule>
  </conditionalFormatting>
  <conditionalFormatting sqref="I15:I17">
    <cfRule type="expression" dxfId="166" priority="49" stopIfTrue="1">
      <formula>#REF!="Done"</formula>
    </cfRule>
    <cfRule type="expression" dxfId="165" priority="50" stopIfTrue="1">
      <formula>#REF!="Ongoing"</formula>
    </cfRule>
  </conditionalFormatting>
  <conditionalFormatting sqref="J21:J23">
    <cfRule type="expression" dxfId="164" priority="39" stopIfTrue="1">
      <formula>$D21="Done"</formula>
    </cfRule>
    <cfRule type="expression" dxfId="163" priority="40" stopIfTrue="1">
      <formula>$D21="Ongoing"</formula>
    </cfRule>
  </conditionalFormatting>
  <conditionalFormatting sqref="J18:J20">
    <cfRule type="expression" dxfId="162" priority="41" stopIfTrue="1">
      <formula>$D15="Done"</formula>
    </cfRule>
    <cfRule type="expression" dxfId="161" priority="42" stopIfTrue="1">
      <formula>$D15="Ongoing"</formula>
    </cfRule>
  </conditionalFormatting>
  <conditionalFormatting sqref="J15:J17">
    <cfRule type="expression" dxfId="160" priority="43" stopIfTrue="1">
      <formula>#REF!="Done"</formula>
    </cfRule>
    <cfRule type="expression" dxfId="159" priority="44" stopIfTrue="1">
      <formula>#REF!="Ongoing"</formula>
    </cfRule>
  </conditionalFormatting>
  <conditionalFormatting sqref="M16:M17 P16:Q17">
    <cfRule type="expression" dxfId="158" priority="37" stopIfTrue="1">
      <formula>#REF!="Done"</formula>
    </cfRule>
    <cfRule type="expression" dxfId="157" priority="38" stopIfTrue="1">
      <formula>#REF!="Ongoing"</formula>
    </cfRule>
  </conditionalFormatting>
  <conditionalFormatting sqref="N16:N17">
    <cfRule type="expression" dxfId="156" priority="35" stopIfTrue="1">
      <formula>#REF!="Done"</formula>
    </cfRule>
    <cfRule type="expression" dxfId="155" priority="36" stopIfTrue="1">
      <formula>#REF!="Ongoing"</formula>
    </cfRule>
  </conditionalFormatting>
  <conditionalFormatting sqref="O16:O17">
    <cfRule type="expression" dxfId="154" priority="33" stopIfTrue="1">
      <formula>#REF!="Done"</formula>
    </cfRule>
    <cfRule type="expression" dxfId="153" priority="34" stopIfTrue="1">
      <formula>#REF!="Ongoing"</formula>
    </cfRule>
  </conditionalFormatting>
  <conditionalFormatting sqref="S16:T17">
    <cfRule type="expression" dxfId="152" priority="31" stopIfTrue="1">
      <formula>#REF!="Done"</formula>
    </cfRule>
    <cfRule type="expression" dxfId="151" priority="32" stopIfTrue="1">
      <formula>#REF!="Ongoing"</formula>
    </cfRule>
  </conditionalFormatting>
  <conditionalFormatting sqref="R16:R17">
    <cfRule type="expression" dxfId="150" priority="29" stopIfTrue="1">
      <formula>#REF!="Done"</formula>
    </cfRule>
    <cfRule type="expression" dxfId="149" priority="30" stopIfTrue="1">
      <formula>#REF!="Ongoing"</formula>
    </cfRule>
  </conditionalFormatting>
  <conditionalFormatting sqref="M21:M23">
    <cfRule type="expression" dxfId="148" priority="25" stopIfTrue="1">
      <formula>$D21="Done"</formula>
    </cfRule>
    <cfRule type="expression" dxfId="147" priority="26" stopIfTrue="1">
      <formula>$D21="Ongoing"</formula>
    </cfRule>
  </conditionalFormatting>
  <conditionalFormatting sqref="M18:M20">
    <cfRule type="expression" dxfId="146" priority="27" stopIfTrue="1">
      <formula>$D15="Done"</formula>
    </cfRule>
    <cfRule type="expression" dxfId="145" priority="28" stopIfTrue="1">
      <formula>$D15="Ongoing"</formula>
    </cfRule>
  </conditionalFormatting>
  <conditionalFormatting sqref="O21 Q21">
    <cfRule type="expression" dxfId="144" priority="21" stopIfTrue="1">
      <formula>$D21="Done"</formula>
    </cfRule>
    <cfRule type="expression" dxfId="143" priority="22" stopIfTrue="1">
      <formula>$D21="Ongoing"</formula>
    </cfRule>
  </conditionalFormatting>
  <conditionalFormatting sqref="O20 Q20">
    <cfRule type="expression" dxfId="142" priority="23" stopIfTrue="1">
      <formula>$D17="Done"</formula>
    </cfRule>
    <cfRule type="expression" dxfId="141" priority="24" stopIfTrue="1">
      <formula>$D17="Ongoing"</formula>
    </cfRule>
  </conditionalFormatting>
  <conditionalFormatting sqref="R21 T21">
    <cfRule type="expression" dxfId="140" priority="13" stopIfTrue="1">
      <formula>$D21="Done"</formula>
    </cfRule>
    <cfRule type="expression" dxfId="139" priority="14" stopIfTrue="1">
      <formula>$D21="Ongoing"</formula>
    </cfRule>
  </conditionalFormatting>
  <conditionalFormatting sqref="R20 T20">
    <cfRule type="expression" dxfId="138" priority="15" stopIfTrue="1">
      <formula>$D17="Done"</formula>
    </cfRule>
    <cfRule type="expression" dxfId="137" priority="16" stopIfTrue="1">
      <formula>$D17="Ongoing"</formula>
    </cfRule>
  </conditionalFormatting>
  <conditionalFormatting sqref="S21">
    <cfRule type="expression" dxfId="136" priority="9" stopIfTrue="1">
      <formula>$D21="Done"</formula>
    </cfRule>
    <cfRule type="expression" dxfId="135" priority="10" stopIfTrue="1">
      <formula>$D21="Ongoing"</formula>
    </cfRule>
  </conditionalFormatting>
  <conditionalFormatting sqref="S20">
    <cfRule type="expression" dxfId="134" priority="11" stopIfTrue="1">
      <formula>$D17="Done"</formula>
    </cfRule>
    <cfRule type="expression" dxfId="133" priority="12" stopIfTrue="1">
      <formula>$D17="Ongoing"</formula>
    </cfRule>
  </conditionalFormatting>
  <conditionalFormatting sqref="P22:P23">
    <cfRule type="expression" dxfId="132" priority="5" stopIfTrue="1">
      <formula>$D22="Done"</formula>
    </cfRule>
    <cfRule type="expression" dxfId="131" priority="6" stopIfTrue="1">
      <formula>$D22="Ongoing"</formula>
    </cfRule>
  </conditionalFormatting>
  <conditionalFormatting sqref="P19">
    <cfRule type="expression" dxfId="130" priority="7" stopIfTrue="1">
      <formula>$D16="Done"</formula>
    </cfRule>
    <cfRule type="expression" dxfId="129" priority="8" stopIfTrue="1">
      <formula>$D16="Ongoing"</formula>
    </cfRule>
  </conditionalFormatting>
  <conditionalFormatting sqref="P21">
    <cfRule type="expression" dxfId="128" priority="1" stopIfTrue="1">
      <formula>$D21="Done"</formula>
    </cfRule>
    <cfRule type="expression" dxfId="127" priority="2" stopIfTrue="1">
      <formula>$D21="Ongoing"</formula>
    </cfRule>
  </conditionalFormatting>
  <conditionalFormatting sqref="P20">
    <cfRule type="expression" dxfId="126" priority="3" stopIfTrue="1">
      <formula>$D17="Done"</formula>
    </cfRule>
    <cfRule type="expression" dxfId="125" priority="4" stopIfTrue="1">
      <formula>$D17="Ongoing"</formula>
    </cfRule>
  </conditionalFormatting>
  <dataValidations count="1">
    <dataValidation type="list" allowBlank="1" showInputMessage="1" sqref="D3:D8 D15:D64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4" name="Button 3">
              <controlPr defaultSize="0" print="0" autoFill="0" autoPict="0" macro="[0]!SortSprintTasks">
                <anchor moveWithCells="1" sizeWithCells="1">
                  <from>
                    <xdr:col>0</xdr:col>
                    <xdr:colOff>238125</xdr:colOff>
                    <xdr:row>5</xdr:row>
                    <xdr:rowOff>85725</xdr:rowOff>
                  </from>
                  <to>
                    <xdr:col>0</xdr:col>
                    <xdr:colOff>2009775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5" name="Button 7">
              <controlPr defaultSize="0" print="0" autoFill="0" autoPict="0" macro="[0]!UpdateTaskSlips">
                <anchor moveWithCells="1" sizeWithCells="1">
                  <from>
                    <xdr:col>0</xdr:col>
                    <xdr:colOff>2257425</xdr:colOff>
                    <xdr:row>5</xdr:row>
                    <xdr:rowOff>85725</xdr:rowOff>
                  </from>
                  <to>
                    <xdr:col>2</xdr:col>
                    <xdr:colOff>295275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C000"/>
  </sheetPr>
  <dimension ref="A1:AD86"/>
  <sheetViews>
    <sheetView workbookViewId="0">
      <pane ySplit="14" topLeftCell="A15" activePane="bottomLeft" state="frozen"/>
      <selection activeCell="E25" sqref="E25"/>
      <selection pane="bottomLeft" activeCell="E10" sqref="E10"/>
    </sheetView>
  </sheetViews>
  <sheetFormatPr baseColWidth="10" defaultColWidth="11.42578125" defaultRowHeight="12.75" x14ac:dyDescent="0.2"/>
  <cols>
    <col min="1" max="1" width="50" style="33" bestFit="1" customWidth="1"/>
    <col min="2" max="2" width="8.5703125" style="32" customWidth="1"/>
    <col min="3" max="3" width="14" style="33" customWidth="1"/>
    <col min="4" max="4" width="10.85546875" style="33" customWidth="1"/>
    <col min="5" max="5" width="6.5703125" style="32" customWidth="1"/>
    <col min="6" max="30" width="4.42578125" style="32" customWidth="1"/>
    <col min="31" max="16384" width="11.42578125" style="33"/>
  </cols>
  <sheetData>
    <row r="1" spans="1:30" ht="18" x14ac:dyDescent="0.2">
      <c r="A1" s="63">
        <v>2</v>
      </c>
      <c r="B1" s="64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</row>
    <row r="2" spans="1:30" x14ac:dyDescent="0.2"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</row>
    <row r="9" spans="1:30" x14ac:dyDescent="0.2">
      <c r="A9" s="65" t="s">
        <v>12</v>
      </c>
      <c r="B9" s="66">
        <v>15</v>
      </c>
      <c r="C9" s="65"/>
      <c r="D9" s="67"/>
      <c r="E9" s="65" t="s">
        <v>9</v>
      </c>
      <c r="F9" s="65" t="s">
        <v>11</v>
      </c>
      <c r="G9" s="65"/>
      <c r="H9" s="65"/>
      <c r="I9" s="65"/>
      <c r="J9" s="65"/>
      <c r="K9" s="65"/>
      <c r="L9" s="65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</row>
    <row r="10" spans="1:30" x14ac:dyDescent="0.2">
      <c r="A10" s="65" t="s">
        <v>28</v>
      </c>
      <c r="B10" s="66"/>
      <c r="C10" s="65" t="s">
        <v>29</v>
      </c>
      <c r="D10" s="65" t="s">
        <v>17</v>
      </c>
      <c r="E10" s="68">
        <f>SUM(E15:E25)</f>
        <v>33</v>
      </c>
      <c r="F10" s="68">
        <f ca="1">IF(AND(SUM(OFFSET(F14,1,0,TaskRows,1))=0),0,SUM(OFFSET(F14,1,0,TaskRows,1)))</f>
        <v>32</v>
      </c>
      <c r="G10" s="68">
        <f t="shared" ref="G10:AD10" ca="1" si="0">IF(AND(SUM(OFFSET(G14,1,0,TaskRows,1))=0),"",SUM(OFFSET(G14,1,0,TaskRows,1)))</f>
        <v>32</v>
      </c>
      <c r="H10" s="68">
        <f t="shared" ca="1" si="0"/>
        <v>32</v>
      </c>
      <c r="I10" s="68">
        <f t="shared" ca="1" si="0"/>
        <v>31</v>
      </c>
      <c r="J10" s="68">
        <f t="shared" ca="1" si="0"/>
        <v>29</v>
      </c>
      <c r="K10" s="68">
        <f t="shared" ca="1" si="0"/>
        <v>28</v>
      </c>
      <c r="L10" s="68">
        <f t="shared" ca="1" si="0"/>
        <v>23</v>
      </c>
      <c r="M10" s="68">
        <f t="shared" ca="1" si="0"/>
        <v>20</v>
      </c>
      <c r="N10" s="68">
        <f t="shared" ca="1" si="0"/>
        <v>17</v>
      </c>
      <c r="O10" s="68">
        <f t="shared" ca="1" si="0"/>
        <v>14</v>
      </c>
      <c r="P10" s="68">
        <f t="shared" ca="1" si="0"/>
        <v>8</v>
      </c>
      <c r="Q10" s="68">
        <f t="shared" ca="1" si="0"/>
        <v>4</v>
      </c>
      <c r="R10" s="68">
        <f t="shared" ca="1" si="0"/>
        <v>2</v>
      </c>
      <c r="S10" s="68">
        <f t="shared" ca="1" si="0"/>
        <v>1</v>
      </c>
      <c r="T10" s="68" t="str">
        <f t="shared" ca="1" si="0"/>
        <v/>
      </c>
      <c r="U10" s="68" t="str">
        <f t="shared" ca="1" si="0"/>
        <v/>
      </c>
      <c r="V10" s="68" t="str">
        <f t="shared" ca="1" si="0"/>
        <v/>
      </c>
      <c r="W10" s="68" t="str">
        <f t="shared" ca="1" si="0"/>
        <v/>
      </c>
      <c r="X10" s="68" t="str">
        <f t="shared" ca="1" si="0"/>
        <v/>
      </c>
      <c r="Y10" s="68" t="str">
        <f t="shared" ca="1" si="0"/>
        <v/>
      </c>
      <c r="Z10" s="68" t="str">
        <f t="shared" ca="1" si="0"/>
        <v/>
      </c>
      <c r="AA10" s="68" t="str">
        <f t="shared" ca="1" si="0"/>
        <v/>
      </c>
      <c r="AB10" s="68" t="str">
        <f t="shared" ca="1" si="0"/>
        <v/>
      </c>
      <c r="AC10" s="68" t="str">
        <f t="shared" ca="1" si="0"/>
        <v/>
      </c>
      <c r="AD10" s="68" t="str">
        <f t="shared" ca="1" si="0"/>
        <v/>
      </c>
    </row>
    <row r="11" spans="1:30" customFormat="1" hidden="1" x14ac:dyDescent="0.2">
      <c r="A11" t="s">
        <v>22</v>
      </c>
      <c r="B11" s="112">
        <f>IF(COUNTA(A15:A241)=0,1,COUNTA(A15:A241))</f>
        <v>12</v>
      </c>
      <c r="C11" t="s">
        <v>23</v>
      </c>
      <c r="D11" s="112">
        <f ca="1">IF(COUNTIF(F10:AD10,"&gt;0")=0,1,COUNTIF(F10:AD10,"&gt;0"))</f>
        <v>14</v>
      </c>
      <c r="E11" s="112"/>
      <c r="F11" s="112">
        <f>IF(F14="","",$E10-$E10/($B9-1)*(F14-1))</f>
        <v>33</v>
      </c>
      <c r="G11" s="112">
        <f t="shared" ref="G11:AD11" si="1">IF(G14="","",TotalEffort-TotalEffort/(ImplementationDays)*(G14-1))</f>
        <v>30.8</v>
      </c>
      <c r="H11" s="112">
        <f t="shared" si="1"/>
        <v>28.6</v>
      </c>
      <c r="I11" s="112">
        <f t="shared" si="1"/>
        <v>26.4</v>
      </c>
      <c r="J11" s="112">
        <f t="shared" si="1"/>
        <v>24.2</v>
      </c>
      <c r="K11" s="112">
        <f t="shared" si="1"/>
        <v>22</v>
      </c>
      <c r="L11" s="112">
        <f t="shared" si="1"/>
        <v>19.799999999999997</v>
      </c>
      <c r="M11" s="112">
        <f t="shared" si="1"/>
        <v>17.599999999999998</v>
      </c>
      <c r="N11" s="112">
        <f t="shared" si="1"/>
        <v>15.399999999999999</v>
      </c>
      <c r="O11" s="112">
        <f t="shared" si="1"/>
        <v>13.2</v>
      </c>
      <c r="P11" s="112">
        <f t="shared" si="1"/>
        <v>11</v>
      </c>
      <c r="Q11" s="112">
        <f t="shared" si="1"/>
        <v>8.7999999999999972</v>
      </c>
      <c r="R11" s="112">
        <f t="shared" si="1"/>
        <v>6.5999999999999979</v>
      </c>
      <c r="S11" s="112">
        <f t="shared" si="1"/>
        <v>4.3999999999999986</v>
      </c>
      <c r="T11" s="112">
        <f t="shared" si="1"/>
        <v>2.1999999999999957</v>
      </c>
      <c r="U11" s="112" t="str">
        <f t="shared" si="1"/>
        <v/>
      </c>
      <c r="V11" s="112" t="str">
        <f t="shared" si="1"/>
        <v/>
      </c>
      <c r="W11" s="112" t="str">
        <f t="shared" si="1"/>
        <v/>
      </c>
      <c r="X11" s="112" t="str">
        <f t="shared" si="1"/>
        <v/>
      </c>
      <c r="Y11" s="112" t="str">
        <f t="shared" si="1"/>
        <v/>
      </c>
      <c r="Z11" s="112" t="str">
        <f t="shared" si="1"/>
        <v/>
      </c>
      <c r="AA11" s="112" t="str">
        <f t="shared" si="1"/>
        <v/>
      </c>
      <c r="AB11" s="112" t="str">
        <f t="shared" si="1"/>
        <v/>
      </c>
      <c r="AC11" s="112" t="str">
        <f t="shared" si="1"/>
        <v/>
      </c>
      <c r="AD11" s="112" t="str">
        <f t="shared" si="1"/>
        <v/>
      </c>
    </row>
    <row r="12" spans="1:30" customFormat="1" hidden="1" x14ac:dyDescent="0.2">
      <c r="A12" s="52" t="s">
        <v>26</v>
      </c>
      <c r="C12" t="s">
        <v>24</v>
      </c>
      <c r="D12" s="112"/>
      <c r="E12" s="112"/>
      <c r="F12" s="112" t="e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#REF!</v>
      </c>
      <c r="G12" s="112" t="e">
        <f t="shared" ca="1" si="2"/>
        <v>#REF!</v>
      </c>
      <c r="H12" s="112" t="e">
        <f t="shared" ca="1" si="2"/>
        <v>#REF!</v>
      </c>
      <c r="I12" s="112" t="e">
        <f t="shared" ca="1" si="2"/>
        <v>#REF!</v>
      </c>
      <c r="J12" s="112" t="e">
        <f t="shared" ca="1" si="2"/>
        <v>#REF!</v>
      </c>
      <c r="K12" s="112" t="e">
        <f t="shared" ca="1" si="2"/>
        <v>#REF!</v>
      </c>
      <c r="L12" s="112" t="e">
        <f t="shared" ca="1" si="2"/>
        <v>#REF!</v>
      </c>
      <c r="M12" s="112" t="e">
        <f t="shared" ca="1" si="2"/>
        <v>#REF!</v>
      </c>
      <c r="N12" s="112" t="e">
        <f t="shared" ca="1" si="2"/>
        <v>#REF!</v>
      </c>
      <c r="O12" s="112" t="e">
        <f t="shared" ca="1" si="2"/>
        <v>#REF!</v>
      </c>
      <c r="P12" s="112" t="e">
        <f t="shared" ca="1" si="2"/>
        <v>#REF!</v>
      </c>
      <c r="Q12" s="112" t="e">
        <f t="shared" ca="1" si="2"/>
        <v>#REF!</v>
      </c>
      <c r="R12" s="112" t="e">
        <f t="shared" ca="1" si="2"/>
        <v>#REF!</v>
      </c>
      <c r="S12" s="112" t="e">
        <f t="shared" ca="1" si="2"/>
        <v>#REF!</v>
      </c>
      <c r="T12" s="112" t="e">
        <f t="shared" ca="1" si="2"/>
        <v>#REF!</v>
      </c>
      <c r="U12" s="112" t="e">
        <f t="shared" ca="1" si="2"/>
        <v>#REF!</v>
      </c>
      <c r="V12" s="112" t="e">
        <f t="shared" ca="1" si="2"/>
        <v>#REF!</v>
      </c>
      <c r="W12" s="112" t="e">
        <f t="shared" ca="1" si="2"/>
        <v>#REF!</v>
      </c>
      <c r="X12" s="112" t="e">
        <f t="shared" ca="1" si="2"/>
        <v>#REF!</v>
      </c>
      <c r="Y12" s="112" t="e">
        <f t="shared" ca="1" si="2"/>
        <v>#REF!</v>
      </c>
      <c r="Z12" s="112" t="e">
        <f t="shared" ca="1" si="2"/>
        <v>#REF!</v>
      </c>
      <c r="AA12" s="112" t="e">
        <f t="shared" ca="1" si="2"/>
        <v>#REF!</v>
      </c>
      <c r="AB12" s="112" t="e">
        <f t="shared" ca="1" si="2"/>
        <v>#REF!</v>
      </c>
      <c r="AC12" s="112" t="e">
        <f t="shared" ca="1" si="2"/>
        <v>#REF!</v>
      </c>
      <c r="AD12" s="112" t="e">
        <f t="shared" ca="1" si="2"/>
        <v>#REF!</v>
      </c>
    </row>
    <row r="13" spans="1:30" customFormat="1" hidden="1" x14ac:dyDescent="0.2">
      <c r="A13" s="52" t="s">
        <v>27</v>
      </c>
      <c r="C13" t="s">
        <v>25</v>
      </c>
      <c r="D13" s="112">
        <f ca="1">IF(DoneDays&gt;B10,B10,DoneDays)</f>
        <v>0</v>
      </c>
      <c r="E13" s="112"/>
      <c r="F13" s="112">
        <f ca="1">IF(DoneDays&gt;E13,E13+1,"")</f>
        <v>1</v>
      </c>
      <c r="G13" s="112">
        <v>2</v>
      </c>
      <c r="H13" s="112">
        <v>3</v>
      </c>
      <c r="I13" s="112">
        <v>4</v>
      </c>
      <c r="J13" s="112">
        <v>5</v>
      </c>
      <c r="K13" s="112">
        <v>6</v>
      </c>
      <c r="L13" s="112">
        <v>7</v>
      </c>
      <c r="M13" s="112">
        <v>8</v>
      </c>
      <c r="N13" s="112">
        <v>9</v>
      </c>
      <c r="O13" s="112">
        <v>10</v>
      </c>
      <c r="P13" s="112">
        <v>11</v>
      </c>
      <c r="Q13" s="112">
        <v>12</v>
      </c>
      <c r="R13" s="112">
        <v>13</v>
      </c>
      <c r="S13" s="112">
        <v>14</v>
      </c>
      <c r="T13" s="112">
        <v>15</v>
      </c>
      <c r="U13" s="112">
        <v>16</v>
      </c>
      <c r="V13" s="112">
        <v>17</v>
      </c>
      <c r="W13" s="112">
        <v>18</v>
      </c>
      <c r="X13" s="112">
        <v>19</v>
      </c>
      <c r="Y13" s="112">
        <v>20</v>
      </c>
      <c r="Z13" s="112">
        <v>21</v>
      </c>
      <c r="AA13" s="112">
        <v>22</v>
      </c>
      <c r="AB13" s="112">
        <v>23</v>
      </c>
      <c r="AC13" s="112">
        <v>24</v>
      </c>
      <c r="AD13" s="112">
        <v>25</v>
      </c>
    </row>
    <row r="14" spans="1:30" x14ac:dyDescent="0.2">
      <c r="A14" s="65" t="s">
        <v>7</v>
      </c>
      <c r="B14" s="69" t="s">
        <v>21</v>
      </c>
      <c r="C14" s="65" t="s">
        <v>8</v>
      </c>
      <c r="D14" s="65" t="s">
        <v>3</v>
      </c>
      <c r="E14" s="69" t="s">
        <v>10</v>
      </c>
      <c r="F14" s="69">
        <v>1</v>
      </c>
      <c r="G14" s="69">
        <f t="shared" ref="G14:AD14" si="3">IF($B$9&gt;F14,F14+1,"")</f>
        <v>2</v>
      </c>
      <c r="H14" s="69">
        <f t="shared" si="3"/>
        <v>3</v>
      </c>
      <c r="I14" s="69">
        <f t="shared" si="3"/>
        <v>4</v>
      </c>
      <c r="J14" s="69">
        <f t="shared" si="3"/>
        <v>5</v>
      </c>
      <c r="K14" s="69">
        <f t="shared" si="3"/>
        <v>6</v>
      </c>
      <c r="L14" s="69">
        <f t="shared" si="3"/>
        <v>7</v>
      </c>
      <c r="M14" s="69">
        <f t="shared" si="3"/>
        <v>8</v>
      </c>
      <c r="N14" s="69">
        <f t="shared" si="3"/>
        <v>9</v>
      </c>
      <c r="O14" s="69">
        <f t="shared" si="3"/>
        <v>10</v>
      </c>
      <c r="P14" s="69">
        <f t="shared" si="3"/>
        <v>11</v>
      </c>
      <c r="Q14" s="69">
        <f t="shared" si="3"/>
        <v>12</v>
      </c>
      <c r="R14" s="69">
        <f t="shared" si="3"/>
        <v>13</v>
      </c>
      <c r="S14" s="69">
        <f t="shared" si="3"/>
        <v>14</v>
      </c>
      <c r="T14" s="69">
        <f t="shared" si="3"/>
        <v>15</v>
      </c>
      <c r="U14" s="69" t="str">
        <f t="shared" si="3"/>
        <v/>
      </c>
      <c r="V14" s="69" t="str">
        <f t="shared" si="3"/>
        <v/>
      </c>
      <c r="W14" s="69" t="str">
        <f t="shared" si="3"/>
        <v/>
      </c>
      <c r="X14" s="69" t="str">
        <f t="shared" si="3"/>
        <v/>
      </c>
      <c r="Y14" s="69" t="str">
        <f t="shared" si="3"/>
        <v/>
      </c>
      <c r="Z14" s="69" t="str">
        <f t="shared" si="3"/>
        <v/>
      </c>
      <c r="AA14" s="69" t="str">
        <f t="shared" si="3"/>
        <v/>
      </c>
      <c r="AB14" s="69" t="str">
        <f t="shared" si="3"/>
        <v/>
      </c>
      <c r="AC14" s="69" t="str">
        <f t="shared" si="3"/>
        <v/>
      </c>
      <c r="AD14" s="69" t="str">
        <f t="shared" si="3"/>
        <v/>
      </c>
    </row>
    <row r="15" spans="1:30" x14ac:dyDescent="0.2">
      <c r="A15" s="111" t="s">
        <v>129</v>
      </c>
      <c r="B15" s="112">
        <v>1</v>
      </c>
      <c r="C15" s="111" t="s">
        <v>109</v>
      </c>
      <c r="D15" t="s">
        <v>121</v>
      </c>
      <c r="E15" s="112">
        <v>2</v>
      </c>
      <c r="F15" s="112">
        <v>2</v>
      </c>
      <c r="G15" s="112">
        <v>2</v>
      </c>
      <c r="H15" s="112">
        <v>2</v>
      </c>
      <c r="I15" s="112">
        <v>2</v>
      </c>
      <c r="J15" s="112">
        <v>2</v>
      </c>
      <c r="K15" s="32">
        <v>2</v>
      </c>
      <c r="L15" s="32">
        <v>2</v>
      </c>
      <c r="M15" s="32">
        <v>2</v>
      </c>
      <c r="N15" s="32">
        <v>1</v>
      </c>
      <c r="O15" s="32">
        <v>1</v>
      </c>
      <c r="P15" s="32">
        <v>0</v>
      </c>
      <c r="Q15" s="32">
        <v>0</v>
      </c>
      <c r="R15" s="32">
        <v>0</v>
      </c>
      <c r="S15" s="32">
        <v>0</v>
      </c>
      <c r="T15" s="32">
        <v>0</v>
      </c>
    </row>
    <row r="16" spans="1:30" x14ac:dyDescent="0.2">
      <c r="A16" s="111" t="s">
        <v>130</v>
      </c>
      <c r="B16" s="112">
        <v>1</v>
      </c>
      <c r="C16" s="111" t="s">
        <v>109</v>
      </c>
      <c r="D16" t="s">
        <v>121</v>
      </c>
      <c r="E16" s="32">
        <v>3</v>
      </c>
      <c r="F16" s="112">
        <v>3</v>
      </c>
      <c r="G16" s="112">
        <v>3</v>
      </c>
      <c r="H16" s="112">
        <v>3</v>
      </c>
      <c r="I16" s="112">
        <v>3</v>
      </c>
      <c r="J16" s="112">
        <v>3</v>
      </c>
      <c r="K16" s="32">
        <v>2</v>
      </c>
      <c r="L16" s="32">
        <v>0</v>
      </c>
      <c r="M16" s="112">
        <v>0</v>
      </c>
      <c r="N16" s="112">
        <v>0</v>
      </c>
      <c r="O16" s="112">
        <v>0</v>
      </c>
      <c r="P16" s="32">
        <v>0</v>
      </c>
      <c r="Q16" s="32">
        <v>0</v>
      </c>
      <c r="R16" s="112">
        <v>0</v>
      </c>
      <c r="S16" s="32">
        <v>0</v>
      </c>
      <c r="T16" s="32">
        <v>0</v>
      </c>
    </row>
    <row r="17" spans="1:30" ht="25.5" x14ac:dyDescent="0.2">
      <c r="A17" s="103" t="s">
        <v>150</v>
      </c>
      <c r="B17" s="32">
        <v>1</v>
      </c>
      <c r="C17" s="104" t="s">
        <v>110</v>
      </c>
      <c r="D17" t="s">
        <v>121</v>
      </c>
      <c r="E17" s="32">
        <v>3</v>
      </c>
      <c r="F17" s="32">
        <v>3</v>
      </c>
      <c r="G17" s="32">
        <v>3</v>
      </c>
      <c r="H17" s="32">
        <v>3</v>
      </c>
      <c r="I17" s="32">
        <v>3</v>
      </c>
      <c r="J17" s="32">
        <v>3</v>
      </c>
      <c r="K17" s="32">
        <v>3</v>
      </c>
      <c r="L17" s="32">
        <v>3</v>
      </c>
      <c r="M17" s="32">
        <v>3</v>
      </c>
      <c r="N17" s="32">
        <v>2</v>
      </c>
      <c r="O17" s="32">
        <v>2</v>
      </c>
      <c r="P17" s="32">
        <v>2</v>
      </c>
      <c r="Q17" s="32">
        <v>0</v>
      </c>
      <c r="R17" s="32">
        <v>0</v>
      </c>
      <c r="S17" s="32">
        <v>0</v>
      </c>
      <c r="T17" s="32">
        <v>0</v>
      </c>
    </row>
    <row r="18" spans="1:30" x14ac:dyDescent="0.2">
      <c r="A18" s="104" t="s">
        <v>133</v>
      </c>
      <c r="B18" s="32">
        <v>3</v>
      </c>
      <c r="C18" s="104" t="s">
        <v>109</v>
      </c>
      <c r="D18" t="s">
        <v>121</v>
      </c>
      <c r="E18" s="32">
        <v>1</v>
      </c>
      <c r="F18" s="112">
        <v>1</v>
      </c>
      <c r="G18" s="112">
        <v>1</v>
      </c>
      <c r="H18" s="32">
        <v>1</v>
      </c>
      <c r="I18" s="32">
        <v>1</v>
      </c>
      <c r="J18" s="32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32">
        <v>0</v>
      </c>
      <c r="Q18" s="32">
        <v>0</v>
      </c>
      <c r="R18" s="32">
        <v>0</v>
      </c>
      <c r="S18" s="32">
        <v>0</v>
      </c>
      <c r="T18" s="32">
        <v>0</v>
      </c>
    </row>
    <row r="19" spans="1:30" x14ac:dyDescent="0.2">
      <c r="A19" s="104" t="s">
        <v>134</v>
      </c>
      <c r="B19" s="32">
        <v>3</v>
      </c>
      <c r="C19" s="104" t="s">
        <v>109</v>
      </c>
      <c r="D19" t="s">
        <v>121</v>
      </c>
      <c r="E19" s="32">
        <v>2</v>
      </c>
      <c r="F19" s="112">
        <v>2</v>
      </c>
      <c r="G19" s="112">
        <v>2</v>
      </c>
      <c r="H19" s="32">
        <v>2</v>
      </c>
      <c r="I19" s="32">
        <v>2</v>
      </c>
      <c r="J19" s="32">
        <v>2</v>
      </c>
      <c r="K19" s="32">
        <v>2</v>
      </c>
      <c r="L19" s="32">
        <v>0</v>
      </c>
      <c r="M19" s="32">
        <v>0</v>
      </c>
      <c r="N19" s="32">
        <v>0</v>
      </c>
      <c r="O19" s="32">
        <v>0</v>
      </c>
      <c r="P19" s="32">
        <v>0</v>
      </c>
      <c r="Q19" s="32">
        <v>0</v>
      </c>
      <c r="R19" s="32">
        <v>0</v>
      </c>
      <c r="S19" s="32">
        <v>0</v>
      </c>
      <c r="T19" s="32">
        <v>0</v>
      </c>
    </row>
    <row r="20" spans="1:30" x14ac:dyDescent="0.2">
      <c r="A20" s="104" t="s">
        <v>132</v>
      </c>
      <c r="B20" s="32">
        <v>4</v>
      </c>
      <c r="C20" s="104" t="s">
        <v>110</v>
      </c>
      <c r="D20" t="s">
        <v>121</v>
      </c>
      <c r="E20" s="32">
        <v>3</v>
      </c>
      <c r="F20" s="112">
        <v>3</v>
      </c>
      <c r="G20" s="112">
        <v>3</v>
      </c>
      <c r="H20" s="115">
        <v>3</v>
      </c>
      <c r="I20" s="115">
        <v>3</v>
      </c>
      <c r="J20" s="115">
        <v>2</v>
      </c>
      <c r="K20" s="32">
        <v>2</v>
      </c>
      <c r="L20" s="32">
        <v>2</v>
      </c>
      <c r="M20" s="32">
        <v>1</v>
      </c>
      <c r="N20" s="32">
        <v>1</v>
      </c>
      <c r="O20" s="32">
        <v>0</v>
      </c>
      <c r="P20" s="32">
        <v>0</v>
      </c>
      <c r="Q20" s="32">
        <v>0</v>
      </c>
      <c r="R20" s="32">
        <v>0</v>
      </c>
      <c r="S20" s="32">
        <v>0</v>
      </c>
      <c r="T20" s="32">
        <v>0</v>
      </c>
    </row>
    <row r="21" spans="1:30" ht="17.25" customHeight="1" x14ac:dyDescent="0.2">
      <c r="A21" s="111" t="s">
        <v>131</v>
      </c>
      <c r="B21" s="115">
        <v>5</v>
      </c>
      <c r="C21" s="111" t="s">
        <v>112</v>
      </c>
      <c r="D21" t="s">
        <v>121</v>
      </c>
      <c r="E21" s="32">
        <v>5</v>
      </c>
      <c r="F21" s="112">
        <v>5</v>
      </c>
      <c r="G21" s="112">
        <v>5</v>
      </c>
      <c r="H21" s="115">
        <v>5</v>
      </c>
      <c r="I21" s="115">
        <v>4</v>
      </c>
      <c r="J21" s="115">
        <v>4</v>
      </c>
      <c r="K21" s="32">
        <v>4</v>
      </c>
      <c r="L21" s="32">
        <v>3</v>
      </c>
      <c r="M21" s="115">
        <v>3</v>
      </c>
      <c r="N21" s="115">
        <v>2</v>
      </c>
      <c r="O21" s="115">
        <v>2</v>
      </c>
      <c r="P21" s="32">
        <v>0</v>
      </c>
      <c r="Q21" s="32">
        <v>0</v>
      </c>
      <c r="R21" s="115">
        <v>0</v>
      </c>
      <c r="S21" s="32">
        <v>0</v>
      </c>
      <c r="T21" s="32">
        <v>0</v>
      </c>
    </row>
    <row r="22" spans="1:30" x14ac:dyDescent="0.2">
      <c r="A22" s="103" t="s">
        <v>135</v>
      </c>
      <c r="B22" s="32">
        <v>5</v>
      </c>
      <c r="C22" s="104" t="s">
        <v>112</v>
      </c>
      <c r="D22" t="s">
        <v>121</v>
      </c>
      <c r="E22" s="32">
        <v>2</v>
      </c>
      <c r="F22" s="115">
        <v>1</v>
      </c>
      <c r="G22" s="115">
        <v>1</v>
      </c>
      <c r="H22" s="32">
        <v>1</v>
      </c>
      <c r="I22" s="32">
        <v>1</v>
      </c>
      <c r="J22" s="32">
        <v>1</v>
      </c>
      <c r="K22" s="32">
        <v>1</v>
      </c>
      <c r="L22" s="32">
        <v>1</v>
      </c>
      <c r="M22" s="32">
        <v>1</v>
      </c>
      <c r="N22" s="32">
        <v>1</v>
      </c>
      <c r="O22" s="32">
        <v>1</v>
      </c>
      <c r="P22" s="32">
        <v>0</v>
      </c>
      <c r="Q22" s="32">
        <v>0</v>
      </c>
      <c r="R22" s="32">
        <v>0</v>
      </c>
      <c r="S22" s="32">
        <v>0</v>
      </c>
      <c r="T22" s="32">
        <v>0</v>
      </c>
    </row>
    <row r="23" spans="1:30" ht="15" customHeight="1" x14ac:dyDescent="0.2">
      <c r="A23" s="103" t="s">
        <v>136</v>
      </c>
      <c r="B23" s="32">
        <v>5</v>
      </c>
      <c r="C23" s="104" t="s">
        <v>112</v>
      </c>
      <c r="D23" s="111" t="s">
        <v>121</v>
      </c>
      <c r="E23" s="32">
        <v>4</v>
      </c>
      <c r="F23" s="32">
        <v>4</v>
      </c>
      <c r="G23" s="32">
        <v>4</v>
      </c>
      <c r="H23" s="32">
        <v>4</v>
      </c>
      <c r="I23" s="32">
        <v>4</v>
      </c>
      <c r="J23" s="32">
        <v>4</v>
      </c>
      <c r="K23" s="32">
        <v>4</v>
      </c>
      <c r="L23" s="32">
        <v>4</v>
      </c>
      <c r="M23" s="32">
        <v>4</v>
      </c>
      <c r="N23" s="32">
        <v>4</v>
      </c>
      <c r="O23" s="32">
        <v>4</v>
      </c>
      <c r="P23" s="32">
        <v>2</v>
      </c>
      <c r="Q23" s="32">
        <v>2</v>
      </c>
      <c r="R23" s="32">
        <v>0</v>
      </c>
      <c r="S23" s="32">
        <v>0</v>
      </c>
      <c r="T23" s="32">
        <v>0</v>
      </c>
    </row>
    <row r="24" spans="1:30" x14ac:dyDescent="0.2">
      <c r="A24" s="103" t="s">
        <v>137</v>
      </c>
      <c r="B24" s="32">
        <v>6</v>
      </c>
      <c r="C24" s="104" t="s">
        <v>112</v>
      </c>
      <c r="D24" s="111" t="s">
        <v>121</v>
      </c>
      <c r="E24" s="32">
        <v>7</v>
      </c>
      <c r="F24" s="32">
        <v>7</v>
      </c>
      <c r="G24" s="32">
        <v>7</v>
      </c>
      <c r="H24" s="32">
        <v>7</v>
      </c>
      <c r="I24" s="32">
        <v>7</v>
      </c>
      <c r="J24" s="32">
        <v>7</v>
      </c>
      <c r="K24" s="32">
        <v>7</v>
      </c>
      <c r="L24" s="32">
        <v>7</v>
      </c>
      <c r="M24" s="32">
        <v>5</v>
      </c>
      <c r="N24" s="32">
        <v>5</v>
      </c>
      <c r="O24" s="32">
        <v>3</v>
      </c>
      <c r="P24" s="32">
        <v>3</v>
      </c>
      <c r="Q24" s="32">
        <v>1</v>
      </c>
      <c r="R24" s="32">
        <v>1</v>
      </c>
      <c r="S24" s="32">
        <v>0</v>
      </c>
      <c r="T24" s="32">
        <v>0</v>
      </c>
    </row>
    <row r="25" spans="1:30" x14ac:dyDescent="0.2">
      <c r="A25" s="103" t="s">
        <v>151</v>
      </c>
      <c r="B25" s="32">
        <v>6</v>
      </c>
      <c r="C25" s="104" t="s">
        <v>109</v>
      </c>
      <c r="D25" s="33" t="s">
        <v>121</v>
      </c>
      <c r="E25" s="32">
        <v>1</v>
      </c>
      <c r="F25" s="32">
        <v>1</v>
      </c>
      <c r="G25" s="32">
        <v>1</v>
      </c>
      <c r="H25" s="32">
        <v>1</v>
      </c>
      <c r="I25" s="32">
        <v>1</v>
      </c>
      <c r="J25" s="32">
        <v>1</v>
      </c>
      <c r="K25" s="32">
        <v>1</v>
      </c>
      <c r="L25" s="32">
        <v>1</v>
      </c>
      <c r="M25" s="32">
        <v>1</v>
      </c>
      <c r="N25" s="32">
        <v>1</v>
      </c>
      <c r="O25" s="32">
        <v>1</v>
      </c>
      <c r="P25" s="32">
        <v>1</v>
      </c>
      <c r="Q25" s="32">
        <v>1</v>
      </c>
      <c r="R25" s="32">
        <v>1</v>
      </c>
      <c r="S25" s="32">
        <v>1</v>
      </c>
      <c r="T25" s="32">
        <v>0</v>
      </c>
      <c r="AC25" s="32" t="str">
        <f t="shared" ref="AC25:AD47" si="4">IF(OR(AC$14="",$E25=""),"",AB25)</f>
        <v/>
      </c>
      <c r="AD25" s="32" t="str">
        <f t="shared" si="4"/>
        <v/>
      </c>
    </row>
    <row r="26" spans="1:30" x14ac:dyDescent="0.2">
      <c r="C26"/>
      <c r="D26" s="33" t="str">
        <f t="shared" ref="D26:D46" si="5">IF(A26&lt;&gt;"","Planned","")</f>
        <v/>
      </c>
      <c r="AC26" s="32" t="str">
        <f t="shared" si="4"/>
        <v/>
      </c>
      <c r="AD26" s="32" t="str">
        <f t="shared" si="4"/>
        <v/>
      </c>
    </row>
    <row r="27" spans="1:30" x14ac:dyDescent="0.2">
      <c r="C27"/>
      <c r="D27" s="33" t="str">
        <f t="shared" si="5"/>
        <v/>
      </c>
      <c r="F27" s="32" t="str">
        <f t="shared" ref="F27:F47" si="6">IF(OR(F$14="",$E27=""),"",E27)</f>
        <v/>
      </c>
      <c r="AC27" s="32" t="str">
        <f t="shared" si="4"/>
        <v/>
      </c>
      <c r="AD27" s="32" t="str">
        <f t="shared" si="4"/>
        <v/>
      </c>
    </row>
    <row r="28" spans="1:30" x14ac:dyDescent="0.2">
      <c r="C28"/>
      <c r="D28" s="33" t="str">
        <f t="shared" si="5"/>
        <v/>
      </c>
      <c r="F28" s="32" t="str">
        <f t="shared" si="6"/>
        <v/>
      </c>
      <c r="AC28" s="32" t="str">
        <f t="shared" si="4"/>
        <v/>
      </c>
      <c r="AD28" s="32" t="str">
        <f t="shared" si="4"/>
        <v/>
      </c>
    </row>
    <row r="29" spans="1:30" x14ac:dyDescent="0.2">
      <c r="C29"/>
      <c r="D29" s="33" t="str">
        <f t="shared" si="5"/>
        <v/>
      </c>
      <c r="F29" s="32" t="str">
        <f t="shared" si="6"/>
        <v/>
      </c>
      <c r="AC29" s="32" t="str">
        <f t="shared" si="4"/>
        <v/>
      </c>
      <c r="AD29" s="32" t="str">
        <f t="shared" si="4"/>
        <v/>
      </c>
    </row>
    <row r="30" spans="1:30" x14ac:dyDescent="0.2">
      <c r="C30"/>
      <c r="D30" s="33" t="str">
        <f t="shared" si="5"/>
        <v/>
      </c>
      <c r="F30" s="32" t="str">
        <f t="shared" si="6"/>
        <v/>
      </c>
      <c r="AC30" s="32" t="str">
        <f t="shared" si="4"/>
        <v/>
      </c>
      <c r="AD30" s="32" t="str">
        <f t="shared" si="4"/>
        <v/>
      </c>
    </row>
    <row r="31" spans="1:30" x14ac:dyDescent="0.2">
      <c r="C31"/>
      <c r="D31" s="33" t="str">
        <f t="shared" si="5"/>
        <v/>
      </c>
      <c r="F31" s="32" t="str">
        <f t="shared" si="6"/>
        <v/>
      </c>
      <c r="AC31" s="32" t="str">
        <f t="shared" si="4"/>
        <v/>
      </c>
      <c r="AD31" s="32" t="str">
        <f t="shared" si="4"/>
        <v/>
      </c>
    </row>
    <row r="32" spans="1:30" x14ac:dyDescent="0.2">
      <c r="C32"/>
      <c r="D32" s="33" t="str">
        <f t="shared" si="5"/>
        <v/>
      </c>
      <c r="F32" s="32" t="str">
        <f t="shared" si="6"/>
        <v/>
      </c>
      <c r="AC32" s="32" t="str">
        <f t="shared" si="4"/>
        <v/>
      </c>
      <c r="AD32" s="32" t="str">
        <f t="shared" si="4"/>
        <v/>
      </c>
    </row>
    <row r="33" spans="1:30" x14ac:dyDescent="0.2">
      <c r="C33"/>
      <c r="D33" s="33" t="str">
        <f t="shared" si="5"/>
        <v/>
      </c>
      <c r="F33" s="32" t="str">
        <f t="shared" si="6"/>
        <v/>
      </c>
      <c r="AC33" s="32" t="str">
        <f t="shared" si="4"/>
        <v/>
      </c>
      <c r="AD33" s="32" t="str">
        <f t="shared" si="4"/>
        <v/>
      </c>
    </row>
    <row r="34" spans="1:30" x14ac:dyDescent="0.2">
      <c r="C34"/>
      <c r="D34" s="33" t="str">
        <f t="shared" si="5"/>
        <v/>
      </c>
      <c r="F34" s="32" t="str">
        <f t="shared" si="6"/>
        <v/>
      </c>
      <c r="AC34" s="32" t="str">
        <f t="shared" si="4"/>
        <v/>
      </c>
      <c r="AD34" s="32" t="str">
        <f t="shared" si="4"/>
        <v/>
      </c>
    </row>
    <row r="35" spans="1:30" x14ac:dyDescent="0.2">
      <c r="C35"/>
      <c r="D35" s="33" t="str">
        <f t="shared" si="5"/>
        <v/>
      </c>
      <c r="F35" s="32" t="str">
        <f t="shared" si="6"/>
        <v/>
      </c>
      <c r="AC35" s="32" t="str">
        <f t="shared" si="4"/>
        <v/>
      </c>
      <c r="AD35" s="32" t="str">
        <f t="shared" si="4"/>
        <v/>
      </c>
    </row>
    <row r="36" spans="1:30" x14ac:dyDescent="0.2">
      <c r="C36"/>
      <c r="D36" s="33" t="str">
        <f t="shared" si="5"/>
        <v/>
      </c>
      <c r="F36" s="32" t="str">
        <f t="shared" si="6"/>
        <v/>
      </c>
      <c r="AC36" s="32" t="str">
        <f t="shared" si="4"/>
        <v/>
      </c>
      <c r="AD36" s="32" t="str">
        <f t="shared" si="4"/>
        <v/>
      </c>
    </row>
    <row r="37" spans="1:30" x14ac:dyDescent="0.2">
      <c r="C37"/>
      <c r="D37" s="33" t="str">
        <f t="shared" si="5"/>
        <v/>
      </c>
      <c r="F37" s="32" t="str">
        <f t="shared" si="6"/>
        <v/>
      </c>
      <c r="AC37" s="32" t="str">
        <f t="shared" si="4"/>
        <v/>
      </c>
      <c r="AD37" s="32" t="str">
        <f t="shared" si="4"/>
        <v/>
      </c>
    </row>
    <row r="38" spans="1:30" x14ac:dyDescent="0.2">
      <c r="C38"/>
      <c r="D38" s="33" t="str">
        <f t="shared" si="5"/>
        <v/>
      </c>
      <c r="F38" s="32" t="str">
        <f t="shared" si="6"/>
        <v/>
      </c>
      <c r="AC38" s="32" t="str">
        <f t="shared" si="4"/>
        <v/>
      </c>
      <c r="AD38" s="32" t="str">
        <f t="shared" si="4"/>
        <v/>
      </c>
    </row>
    <row r="39" spans="1:30" x14ac:dyDescent="0.2">
      <c r="C39"/>
      <c r="D39" s="33" t="str">
        <f t="shared" si="5"/>
        <v/>
      </c>
      <c r="F39" s="32" t="str">
        <f t="shared" si="6"/>
        <v/>
      </c>
      <c r="AC39" s="32" t="str">
        <f t="shared" si="4"/>
        <v/>
      </c>
      <c r="AD39" s="32" t="str">
        <f t="shared" si="4"/>
        <v/>
      </c>
    </row>
    <row r="40" spans="1:30" x14ac:dyDescent="0.2">
      <c r="C40"/>
      <c r="D40" s="33" t="str">
        <f t="shared" si="5"/>
        <v/>
      </c>
      <c r="F40" s="32" t="str">
        <f t="shared" si="6"/>
        <v/>
      </c>
      <c r="AC40" s="32" t="str">
        <f t="shared" si="4"/>
        <v/>
      </c>
      <c r="AD40" s="32" t="str">
        <f t="shared" si="4"/>
        <v/>
      </c>
    </row>
    <row r="41" spans="1:30" x14ac:dyDescent="0.2">
      <c r="C41"/>
      <c r="D41" s="33" t="str">
        <f t="shared" si="5"/>
        <v/>
      </c>
      <c r="F41" s="32" t="str">
        <f t="shared" si="6"/>
        <v/>
      </c>
      <c r="AC41" s="32" t="str">
        <f t="shared" si="4"/>
        <v/>
      </c>
      <c r="AD41" s="32" t="str">
        <f t="shared" si="4"/>
        <v/>
      </c>
    </row>
    <row r="42" spans="1:30" x14ac:dyDescent="0.2">
      <c r="C42"/>
      <c r="D42" s="33" t="str">
        <f t="shared" si="5"/>
        <v/>
      </c>
      <c r="F42" s="32" t="str">
        <f t="shared" si="6"/>
        <v/>
      </c>
      <c r="AC42" s="32" t="str">
        <f t="shared" si="4"/>
        <v/>
      </c>
      <c r="AD42" s="32" t="str">
        <f t="shared" si="4"/>
        <v/>
      </c>
    </row>
    <row r="43" spans="1:30" x14ac:dyDescent="0.2">
      <c r="C43"/>
      <c r="D43" s="33" t="str">
        <f t="shared" si="5"/>
        <v/>
      </c>
      <c r="F43" s="32" t="str">
        <f t="shared" si="6"/>
        <v/>
      </c>
      <c r="AC43" s="32" t="str">
        <f t="shared" si="4"/>
        <v/>
      </c>
      <c r="AD43" s="32" t="str">
        <f t="shared" si="4"/>
        <v/>
      </c>
    </row>
    <row r="44" spans="1:30" x14ac:dyDescent="0.2">
      <c r="C44"/>
      <c r="D44" s="33" t="str">
        <f t="shared" si="5"/>
        <v/>
      </c>
      <c r="F44" s="32" t="str">
        <f t="shared" si="6"/>
        <v/>
      </c>
      <c r="AC44" s="32" t="str">
        <f t="shared" si="4"/>
        <v/>
      </c>
      <c r="AD44" s="32" t="str">
        <f t="shared" si="4"/>
        <v/>
      </c>
    </row>
    <row r="45" spans="1:30" x14ac:dyDescent="0.2">
      <c r="C45"/>
      <c r="D45" s="33" t="str">
        <f t="shared" si="5"/>
        <v/>
      </c>
      <c r="F45" s="32" t="str">
        <f t="shared" si="6"/>
        <v/>
      </c>
      <c r="G45" s="32" t="str">
        <f t="shared" ref="G45:AB45" si="7">IF(OR(G$14="",$E45=""),"",F45)</f>
        <v/>
      </c>
      <c r="H45" s="32" t="str">
        <f t="shared" si="7"/>
        <v/>
      </c>
      <c r="I45" s="32" t="str">
        <f t="shared" si="7"/>
        <v/>
      </c>
      <c r="J45" s="32" t="str">
        <f t="shared" si="7"/>
        <v/>
      </c>
      <c r="K45" s="32" t="str">
        <f t="shared" si="7"/>
        <v/>
      </c>
      <c r="L45" s="32" t="str">
        <f t="shared" si="7"/>
        <v/>
      </c>
      <c r="M45" s="32" t="str">
        <f t="shared" si="7"/>
        <v/>
      </c>
      <c r="N45" s="32" t="str">
        <f t="shared" si="7"/>
        <v/>
      </c>
      <c r="O45" s="32" t="str">
        <f t="shared" si="7"/>
        <v/>
      </c>
      <c r="P45" s="32" t="str">
        <f t="shared" si="7"/>
        <v/>
      </c>
      <c r="Q45" s="32" t="str">
        <f t="shared" si="7"/>
        <v/>
      </c>
      <c r="R45" s="32" t="str">
        <f t="shared" si="7"/>
        <v/>
      </c>
      <c r="S45" s="32" t="str">
        <f t="shared" si="7"/>
        <v/>
      </c>
      <c r="T45" s="32" t="str">
        <f t="shared" si="7"/>
        <v/>
      </c>
      <c r="U45" s="32" t="str">
        <f t="shared" si="7"/>
        <v/>
      </c>
      <c r="V45" s="32" t="str">
        <f t="shared" si="7"/>
        <v/>
      </c>
      <c r="W45" s="32" t="str">
        <f t="shared" si="7"/>
        <v/>
      </c>
      <c r="X45" s="32" t="str">
        <f t="shared" si="7"/>
        <v/>
      </c>
      <c r="Y45" s="32" t="str">
        <f t="shared" si="7"/>
        <v/>
      </c>
      <c r="Z45" s="32" t="str">
        <f t="shared" si="7"/>
        <v/>
      </c>
      <c r="AA45" s="32" t="str">
        <f t="shared" si="7"/>
        <v/>
      </c>
      <c r="AB45" s="32" t="str">
        <f t="shared" si="7"/>
        <v/>
      </c>
      <c r="AC45" s="32" t="str">
        <f t="shared" si="4"/>
        <v/>
      </c>
      <c r="AD45" s="32" t="str">
        <f t="shared" si="4"/>
        <v/>
      </c>
    </row>
    <row r="46" spans="1:30" x14ac:dyDescent="0.2">
      <c r="C46"/>
      <c r="D46" s="33" t="str">
        <f t="shared" si="5"/>
        <v/>
      </c>
      <c r="F46" s="32" t="str">
        <f t="shared" si="6"/>
        <v/>
      </c>
      <c r="G46" s="32" t="str">
        <f t="shared" ref="G46:AB46" si="8">IF(OR(G$14="",$E46=""),"",F46)</f>
        <v/>
      </c>
      <c r="H46" s="32" t="str">
        <f t="shared" si="8"/>
        <v/>
      </c>
      <c r="I46" s="32" t="str">
        <f t="shared" si="8"/>
        <v/>
      </c>
      <c r="J46" s="32" t="str">
        <f t="shared" si="8"/>
        <v/>
      </c>
      <c r="K46" s="32" t="str">
        <f t="shared" si="8"/>
        <v/>
      </c>
      <c r="L46" s="32" t="str">
        <f t="shared" si="8"/>
        <v/>
      </c>
      <c r="M46" s="32" t="str">
        <f t="shared" si="8"/>
        <v/>
      </c>
      <c r="N46" s="32" t="str">
        <f t="shared" si="8"/>
        <v/>
      </c>
      <c r="O46" s="32" t="str">
        <f t="shared" si="8"/>
        <v/>
      </c>
      <c r="P46" s="32" t="str">
        <f t="shared" si="8"/>
        <v/>
      </c>
      <c r="Q46" s="32" t="str">
        <f t="shared" si="8"/>
        <v/>
      </c>
      <c r="R46" s="32" t="str">
        <f t="shared" si="8"/>
        <v/>
      </c>
      <c r="S46" s="32" t="str">
        <f t="shared" si="8"/>
        <v/>
      </c>
      <c r="T46" s="32" t="str">
        <f t="shared" si="8"/>
        <v/>
      </c>
      <c r="U46" s="32" t="str">
        <f t="shared" si="8"/>
        <v/>
      </c>
      <c r="V46" s="32" t="str">
        <f t="shared" si="8"/>
        <v/>
      </c>
      <c r="W46" s="32" t="str">
        <f t="shared" si="8"/>
        <v/>
      </c>
      <c r="X46" s="32" t="str">
        <f t="shared" si="8"/>
        <v/>
      </c>
      <c r="Y46" s="32" t="str">
        <f t="shared" si="8"/>
        <v/>
      </c>
      <c r="Z46" s="32" t="str">
        <f t="shared" si="8"/>
        <v/>
      </c>
      <c r="AA46" s="32" t="str">
        <f t="shared" si="8"/>
        <v/>
      </c>
      <c r="AB46" s="32" t="str">
        <f t="shared" si="8"/>
        <v/>
      </c>
      <c r="AC46" s="32" t="str">
        <f t="shared" si="4"/>
        <v/>
      </c>
      <c r="AD46" s="32" t="str">
        <f t="shared" si="4"/>
        <v/>
      </c>
    </row>
    <row r="47" spans="1:30" x14ac:dyDescent="0.2">
      <c r="A47" s="104" t="s">
        <v>152</v>
      </c>
      <c r="C47" s="104" t="s">
        <v>110</v>
      </c>
      <c r="D47" s="33" t="s">
        <v>121</v>
      </c>
      <c r="E47" s="32">
        <v>4</v>
      </c>
      <c r="F47" s="32">
        <f t="shared" si="6"/>
        <v>4</v>
      </c>
      <c r="G47" s="32">
        <f>IF(OR(G$14="",$E47=""),"",F47)</f>
        <v>4</v>
      </c>
      <c r="H47" s="32">
        <f>IF(OR(H$14="",$E47=""),"",G47)</f>
        <v>4</v>
      </c>
      <c r="I47" s="32">
        <f>IF(OR(I$14="",$E47=""),"",H47)</f>
        <v>4</v>
      </c>
      <c r="J47" s="32">
        <f>IF(OR(J$14="",$E47=""),"",I47)</f>
        <v>4</v>
      </c>
      <c r="K47" s="32">
        <f>IF(OR(K$14="",$E47=""),"",J47)</f>
        <v>4</v>
      </c>
      <c r="L47" s="32">
        <v>3</v>
      </c>
      <c r="M47" s="32">
        <f>IF(OR(M$14="",$E47=""),"",L47)</f>
        <v>3</v>
      </c>
      <c r="N47" s="32">
        <f>IF(OR(N$14="",$E47=""),"",M47)</f>
        <v>3</v>
      </c>
      <c r="O47" s="32">
        <v>2</v>
      </c>
      <c r="P47" s="32">
        <v>0</v>
      </c>
      <c r="Q47" s="32">
        <v>0</v>
      </c>
      <c r="R47" s="32">
        <v>0</v>
      </c>
      <c r="S47" s="32">
        <v>0</v>
      </c>
      <c r="T47" s="32">
        <v>0</v>
      </c>
      <c r="AC47" s="32" t="str">
        <f t="shared" si="4"/>
        <v/>
      </c>
      <c r="AD47" s="32" t="str">
        <f t="shared" si="4"/>
        <v/>
      </c>
    </row>
    <row r="48" spans="1:30" x14ac:dyDescent="0.2">
      <c r="A48" s="31"/>
      <c r="C48" s="104"/>
      <c r="D48"/>
    </row>
    <row r="49" spans="1:30" x14ac:dyDescent="0.2">
      <c r="A49" s="31"/>
      <c r="C49" s="104"/>
      <c r="D49"/>
      <c r="AC49" s="32" t="str">
        <f t="shared" ref="AC49:AD62" si="9">IF(OR(AC$14="",$E49=""),"",AB49)</f>
        <v/>
      </c>
      <c r="AD49" s="32" t="str">
        <f t="shared" si="9"/>
        <v/>
      </c>
    </row>
    <row r="50" spans="1:30" x14ac:dyDescent="0.2">
      <c r="A50" s="31"/>
      <c r="C50" s="104"/>
      <c r="D50"/>
      <c r="AC50" s="32" t="str">
        <f t="shared" si="9"/>
        <v/>
      </c>
      <c r="AD50" s="32" t="str">
        <f t="shared" si="9"/>
        <v/>
      </c>
    </row>
    <row r="51" spans="1:30" x14ac:dyDescent="0.2">
      <c r="A51" s="31"/>
      <c r="C51" s="104"/>
      <c r="D51"/>
      <c r="AC51" s="32" t="str">
        <f t="shared" si="9"/>
        <v/>
      </c>
      <c r="AD51" s="32" t="str">
        <f t="shared" si="9"/>
        <v/>
      </c>
    </row>
    <row r="52" spans="1:30" x14ac:dyDescent="0.2">
      <c r="A52" s="31"/>
      <c r="C52" s="104"/>
      <c r="D52"/>
      <c r="AC52" s="32" t="str">
        <f t="shared" si="9"/>
        <v/>
      </c>
      <c r="AD52" s="32" t="str">
        <f t="shared" si="9"/>
        <v/>
      </c>
    </row>
    <row r="53" spans="1:30" x14ac:dyDescent="0.2">
      <c r="A53" s="31"/>
      <c r="C53" s="104"/>
      <c r="D53"/>
      <c r="AC53" s="32" t="str">
        <f t="shared" si="9"/>
        <v/>
      </c>
      <c r="AD53" s="32" t="str">
        <f t="shared" si="9"/>
        <v/>
      </c>
    </row>
    <row r="54" spans="1:30" x14ac:dyDescent="0.2">
      <c r="A54" s="31"/>
      <c r="C54" s="104"/>
      <c r="D54"/>
      <c r="AC54" s="32" t="str">
        <f t="shared" si="9"/>
        <v/>
      </c>
      <c r="AD54" s="32" t="str">
        <f t="shared" si="9"/>
        <v/>
      </c>
    </row>
    <row r="55" spans="1:30" x14ac:dyDescent="0.2">
      <c r="A55" s="31"/>
      <c r="C55" s="104"/>
      <c r="D55"/>
      <c r="AC55" s="32" t="str">
        <f t="shared" si="9"/>
        <v/>
      </c>
      <c r="AD55" s="32" t="str">
        <f t="shared" si="9"/>
        <v/>
      </c>
    </row>
    <row r="56" spans="1:30" x14ac:dyDescent="0.2">
      <c r="A56" s="103"/>
      <c r="C56" s="104"/>
      <c r="D56"/>
      <c r="AC56" s="32" t="str">
        <f t="shared" si="9"/>
        <v/>
      </c>
      <c r="AD56" s="32" t="str">
        <f t="shared" si="9"/>
        <v/>
      </c>
    </row>
    <row r="57" spans="1:30" x14ac:dyDescent="0.2">
      <c r="A57" s="103"/>
      <c r="C57" s="104"/>
      <c r="D57"/>
      <c r="AC57" s="32" t="str">
        <f t="shared" si="9"/>
        <v/>
      </c>
      <c r="AD57" s="32" t="str">
        <f t="shared" si="9"/>
        <v/>
      </c>
    </row>
    <row r="58" spans="1:30" x14ac:dyDescent="0.2">
      <c r="A58" s="31"/>
      <c r="C58"/>
      <c r="AC58" s="32" t="str">
        <f t="shared" si="9"/>
        <v/>
      </c>
      <c r="AD58" s="32" t="str">
        <f t="shared" si="9"/>
        <v/>
      </c>
    </row>
    <row r="59" spans="1:30" x14ac:dyDescent="0.2">
      <c r="A59" s="31"/>
      <c r="C59"/>
      <c r="AC59" s="32" t="str">
        <f t="shared" si="9"/>
        <v/>
      </c>
      <c r="AD59" s="32" t="str">
        <f t="shared" si="9"/>
        <v/>
      </c>
    </row>
    <row r="60" spans="1:30" x14ac:dyDescent="0.2">
      <c r="A60" s="31"/>
      <c r="C60"/>
      <c r="AC60" s="32" t="str">
        <f t="shared" si="9"/>
        <v/>
      </c>
      <c r="AD60" s="32" t="str">
        <f t="shared" si="9"/>
        <v/>
      </c>
    </row>
    <row r="61" spans="1:30" x14ac:dyDescent="0.2">
      <c r="A61" s="31"/>
      <c r="C61"/>
      <c r="AC61" s="32" t="str">
        <f t="shared" si="9"/>
        <v/>
      </c>
      <c r="AD61" s="32" t="str">
        <f t="shared" si="9"/>
        <v/>
      </c>
    </row>
    <row r="62" spans="1:30" x14ac:dyDescent="0.2">
      <c r="A62" s="31"/>
      <c r="C62"/>
      <c r="AC62" s="32" t="str">
        <f t="shared" si="9"/>
        <v/>
      </c>
      <c r="AD62" s="32" t="str">
        <f t="shared" si="9"/>
        <v/>
      </c>
    </row>
    <row r="63" spans="1:30" x14ac:dyDescent="0.2">
      <c r="C63"/>
      <c r="D63" s="33" t="str">
        <f t="shared" ref="D63" si="10">IF(A63&lt;&gt;"","Planned","")</f>
        <v/>
      </c>
    </row>
    <row r="64" spans="1:30" x14ac:dyDescent="0.2">
      <c r="C64"/>
    </row>
    <row r="65" spans="3:3" x14ac:dyDescent="0.2">
      <c r="C65"/>
    </row>
    <row r="66" spans="3:3" x14ac:dyDescent="0.2">
      <c r="C66"/>
    </row>
    <row r="67" spans="3:3" x14ac:dyDescent="0.2">
      <c r="C67"/>
    </row>
    <row r="68" spans="3:3" x14ac:dyDescent="0.2">
      <c r="C68"/>
    </row>
    <row r="69" spans="3:3" x14ac:dyDescent="0.2">
      <c r="C69"/>
    </row>
    <row r="70" spans="3:3" x14ac:dyDescent="0.2">
      <c r="C70"/>
    </row>
    <row r="71" spans="3:3" x14ac:dyDescent="0.2">
      <c r="C71"/>
    </row>
    <row r="72" spans="3:3" x14ac:dyDescent="0.2">
      <c r="C72"/>
    </row>
    <row r="73" spans="3:3" x14ac:dyDescent="0.2">
      <c r="C73"/>
    </row>
    <row r="74" spans="3:3" x14ac:dyDescent="0.2">
      <c r="C74"/>
    </row>
    <row r="75" spans="3:3" x14ac:dyDescent="0.2">
      <c r="C75"/>
    </row>
    <row r="76" spans="3:3" x14ac:dyDescent="0.2">
      <c r="C76"/>
    </row>
    <row r="77" spans="3:3" x14ac:dyDescent="0.2">
      <c r="C77"/>
    </row>
    <row r="78" spans="3:3" x14ac:dyDescent="0.2">
      <c r="C78"/>
    </row>
    <row r="79" spans="3:3" x14ac:dyDescent="0.2">
      <c r="C79"/>
    </row>
    <row r="80" spans="3:3" x14ac:dyDescent="0.2">
      <c r="C80"/>
    </row>
    <row r="81" spans="3:3" x14ac:dyDescent="0.2">
      <c r="C81"/>
    </row>
    <row r="82" spans="3:3" x14ac:dyDescent="0.2">
      <c r="C82"/>
    </row>
    <row r="83" spans="3:3" x14ac:dyDescent="0.2">
      <c r="C83"/>
    </row>
    <row r="84" spans="3:3" x14ac:dyDescent="0.2">
      <c r="C84"/>
    </row>
    <row r="85" spans="3:3" x14ac:dyDescent="0.2">
      <c r="C85"/>
    </row>
    <row r="86" spans="3:3" x14ac:dyDescent="0.2">
      <c r="C86"/>
    </row>
  </sheetData>
  <sortState ref="A15:AD62">
    <sortCondition ref="B14"/>
    <sortCondition ref="D14"/>
  </sortState>
  <conditionalFormatting sqref="A15:E17 E21 E22:F23 H21:H23 K21:L23 N22:O23 N21 U21:AD21 Q22:AD23 A21:C23 D18:D23 A24:AD57">
    <cfRule type="expression" dxfId="124" priority="53" stopIfTrue="1">
      <formula>$D15="Done"</formula>
    </cfRule>
    <cfRule type="expression" dxfId="123" priority="54" stopIfTrue="1">
      <formula>$D15="Ongoing"</formula>
    </cfRule>
  </conditionalFormatting>
  <conditionalFormatting sqref="F18:F21 H18:H20 K18:L20 N18:AD18 N20 U20:AD20 N19:O19 Q19:AD19">
    <cfRule type="expression" dxfId="122" priority="55" stopIfTrue="1">
      <formula>$D15="Done"</formula>
    </cfRule>
    <cfRule type="expression" dxfId="121" priority="56" stopIfTrue="1">
      <formula>$D15="Ongoing"</formula>
    </cfRule>
  </conditionalFormatting>
  <conditionalFormatting sqref="F15:F17 H15:H17 K15:AD15 K16:L17 U16:AD17">
    <cfRule type="expression" dxfId="120" priority="57" stopIfTrue="1">
      <formula>#REF!="Done"</formula>
    </cfRule>
    <cfRule type="expression" dxfId="119" priority="58" stopIfTrue="1">
      <formula>#REF!="Ongoing"</formula>
    </cfRule>
  </conditionalFormatting>
  <conditionalFormatting sqref="G22:G23">
    <cfRule type="expression" dxfId="118" priority="47" stopIfTrue="1">
      <formula>$D22="Done"</formula>
    </cfRule>
    <cfRule type="expression" dxfId="117" priority="48" stopIfTrue="1">
      <formula>$D22="Ongoing"</formula>
    </cfRule>
  </conditionalFormatting>
  <conditionalFormatting sqref="G18:G21">
    <cfRule type="expression" dxfId="116" priority="49" stopIfTrue="1">
      <formula>$D15="Done"</formula>
    </cfRule>
    <cfRule type="expression" dxfId="115" priority="50" stopIfTrue="1">
      <formula>$D15="Ongoing"</formula>
    </cfRule>
  </conditionalFormatting>
  <conditionalFormatting sqref="G15:G17">
    <cfRule type="expression" dxfId="114" priority="51" stopIfTrue="1">
      <formula>#REF!="Done"</formula>
    </cfRule>
    <cfRule type="expression" dxfId="113" priority="52" stopIfTrue="1">
      <formula>#REF!="Ongoing"</formula>
    </cfRule>
  </conditionalFormatting>
  <conditionalFormatting sqref="I21:I23">
    <cfRule type="expression" dxfId="112" priority="41" stopIfTrue="1">
      <formula>$D21="Done"</formula>
    </cfRule>
    <cfRule type="expression" dxfId="111" priority="42" stopIfTrue="1">
      <formula>$D21="Ongoing"</formula>
    </cfRule>
  </conditionalFormatting>
  <conditionalFormatting sqref="I18:I20">
    <cfRule type="expression" dxfId="110" priority="43" stopIfTrue="1">
      <formula>$D15="Done"</formula>
    </cfRule>
    <cfRule type="expression" dxfId="109" priority="44" stopIfTrue="1">
      <formula>$D15="Ongoing"</formula>
    </cfRule>
  </conditionalFormatting>
  <conditionalFormatting sqref="I15:I17">
    <cfRule type="expression" dxfId="108" priority="45" stopIfTrue="1">
      <formula>#REF!="Done"</formula>
    </cfRule>
    <cfRule type="expression" dxfId="107" priority="46" stopIfTrue="1">
      <formula>#REF!="Ongoing"</formula>
    </cfRule>
  </conditionalFormatting>
  <conditionalFormatting sqref="J21:J23">
    <cfRule type="expression" dxfId="106" priority="35" stopIfTrue="1">
      <formula>$D21="Done"</formula>
    </cfRule>
    <cfRule type="expression" dxfId="105" priority="36" stopIfTrue="1">
      <formula>$D21="Ongoing"</formula>
    </cfRule>
  </conditionalFormatting>
  <conditionalFormatting sqref="J18:J20">
    <cfRule type="expression" dxfId="104" priority="37" stopIfTrue="1">
      <formula>$D15="Done"</formula>
    </cfRule>
    <cfRule type="expression" dxfId="103" priority="38" stopIfTrue="1">
      <formula>$D15="Ongoing"</formula>
    </cfRule>
  </conditionalFormatting>
  <conditionalFormatting sqref="J15:J17">
    <cfRule type="expression" dxfId="102" priority="39" stopIfTrue="1">
      <formula>#REF!="Done"</formula>
    </cfRule>
    <cfRule type="expression" dxfId="101" priority="40" stopIfTrue="1">
      <formula>#REF!="Ongoing"</formula>
    </cfRule>
  </conditionalFormatting>
  <conditionalFormatting sqref="M16:M17 P16:Q17">
    <cfRule type="expression" dxfId="100" priority="33" stopIfTrue="1">
      <formula>#REF!="Done"</formula>
    </cfRule>
    <cfRule type="expression" dxfId="99" priority="34" stopIfTrue="1">
      <formula>#REF!="Ongoing"</formula>
    </cfRule>
  </conditionalFormatting>
  <conditionalFormatting sqref="N16:N17">
    <cfRule type="expression" dxfId="98" priority="31" stopIfTrue="1">
      <formula>#REF!="Done"</formula>
    </cfRule>
    <cfRule type="expression" dxfId="97" priority="32" stopIfTrue="1">
      <formula>#REF!="Ongoing"</formula>
    </cfRule>
  </conditionalFormatting>
  <conditionalFormatting sqref="O16:O17">
    <cfRule type="expression" dxfId="96" priority="29" stopIfTrue="1">
      <formula>#REF!="Done"</formula>
    </cfRule>
    <cfRule type="expression" dxfId="95" priority="30" stopIfTrue="1">
      <formula>#REF!="Ongoing"</formula>
    </cfRule>
  </conditionalFormatting>
  <conditionalFormatting sqref="S16:T17">
    <cfRule type="expression" dxfId="94" priority="27" stopIfTrue="1">
      <formula>#REF!="Done"</formula>
    </cfRule>
    <cfRule type="expression" dxfId="93" priority="28" stopIfTrue="1">
      <formula>#REF!="Ongoing"</formula>
    </cfRule>
  </conditionalFormatting>
  <conditionalFormatting sqref="R16:R17">
    <cfRule type="expression" dxfId="92" priority="25" stopIfTrue="1">
      <formula>#REF!="Done"</formula>
    </cfRule>
    <cfRule type="expression" dxfId="91" priority="26" stopIfTrue="1">
      <formula>#REF!="Ongoing"</formula>
    </cfRule>
  </conditionalFormatting>
  <conditionalFormatting sqref="M21:M23">
    <cfRule type="expression" dxfId="90" priority="21" stopIfTrue="1">
      <formula>$D21="Done"</formula>
    </cfRule>
    <cfRule type="expression" dxfId="89" priority="22" stopIfTrue="1">
      <formula>$D21="Ongoing"</formula>
    </cfRule>
  </conditionalFormatting>
  <conditionalFormatting sqref="M18:M20">
    <cfRule type="expression" dxfId="88" priority="23" stopIfTrue="1">
      <formula>$D15="Done"</formula>
    </cfRule>
    <cfRule type="expression" dxfId="87" priority="24" stopIfTrue="1">
      <formula>$D15="Ongoing"</formula>
    </cfRule>
  </conditionalFormatting>
  <conditionalFormatting sqref="O21 Q21">
    <cfRule type="expression" dxfId="86" priority="17" stopIfTrue="1">
      <formula>$D21="Done"</formula>
    </cfRule>
    <cfRule type="expression" dxfId="85" priority="18" stopIfTrue="1">
      <formula>$D21="Ongoing"</formula>
    </cfRule>
  </conditionalFormatting>
  <conditionalFormatting sqref="O20 Q20">
    <cfRule type="expression" dxfId="84" priority="19" stopIfTrue="1">
      <formula>$D17="Done"</formula>
    </cfRule>
    <cfRule type="expression" dxfId="83" priority="20" stopIfTrue="1">
      <formula>$D17="Ongoing"</formula>
    </cfRule>
  </conditionalFormatting>
  <conditionalFormatting sqref="R21 T21">
    <cfRule type="expression" dxfId="82" priority="13" stopIfTrue="1">
      <formula>$D21="Done"</formula>
    </cfRule>
    <cfRule type="expression" dxfId="81" priority="14" stopIfTrue="1">
      <formula>$D21="Ongoing"</formula>
    </cfRule>
  </conditionalFormatting>
  <conditionalFormatting sqref="R20 T20">
    <cfRule type="expression" dxfId="80" priority="15" stopIfTrue="1">
      <formula>$D17="Done"</formula>
    </cfRule>
    <cfRule type="expression" dxfId="79" priority="16" stopIfTrue="1">
      <formula>$D17="Ongoing"</formula>
    </cfRule>
  </conditionalFormatting>
  <conditionalFormatting sqref="S21">
    <cfRule type="expression" dxfId="78" priority="9" stopIfTrue="1">
      <formula>$D21="Done"</formula>
    </cfRule>
    <cfRule type="expression" dxfId="77" priority="10" stopIfTrue="1">
      <formula>$D21="Ongoing"</formula>
    </cfRule>
  </conditionalFormatting>
  <conditionalFormatting sqref="S20">
    <cfRule type="expression" dxfId="76" priority="11" stopIfTrue="1">
      <formula>$D17="Done"</formula>
    </cfRule>
    <cfRule type="expression" dxfId="75" priority="12" stopIfTrue="1">
      <formula>$D17="Ongoing"</formula>
    </cfRule>
  </conditionalFormatting>
  <conditionalFormatting sqref="P22:P23">
    <cfRule type="expression" dxfId="74" priority="5" stopIfTrue="1">
      <formula>$D22="Done"</formula>
    </cfRule>
    <cfRule type="expression" dxfId="73" priority="6" stopIfTrue="1">
      <formula>$D22="Ongoing"</formula>
    </cfRule>
  </conditionalFormatting>
  <conditionalFormatting sqref="P19">
    <cfRule type="expression" dxfId="72" priority="7" stopIfTrue="1">
      <formula>$D16="Done"</formula>
    </cfRule>
    <cfRule type="expression" dxfId="71" priority="8" stopIfTrue="1">
      <formula>$D16="Ongoing"</formula>
    </cfRule>
  </conditionalFormatting>
  <conditionalFormatting sqref="P21">
    <cfRule type="expression" dxfId="70" priority="1" stopIfTrue="1">
      <formula>$D21="Done"</formula>
    </cfRule>
    <cfRule type="expression" dxfId="69" priority="2" stopIfTrue="1">
      <formula>$D21="Ongoing"</formula>
    </cfRule>
  </conditionalFormatting>
  <conditionalFormatting sqref="P20">
    <cfRule type="expression" dxfId="68" priority="3" stopIfTrue="1">
      <formula>$D17="Done"</formula>
    </cfRule>
    <cfRule type="expression" dxfId="67" priority="4" stopIfTrue="1">
      <formula>$D17="Ongoing"</formula>
    </cfRule>
  </conditionalFormatting>
  <dataValidations count="1">
    <dataValidation type="list" allowBlank="1" showInputMessage="1" sqref="D3:D8 D15:D63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ortSprintTasks">
                <anchor moveWithCells="1" sizeWithCells="1">
                  <from>
                    <xdr:col>0</xdr:col>
                    <xdr:colOff>238125</xdr:colOff>
                    <xdr:row>5</xdr:row>
                    <xdr:rowOff>85725</xdr:rowOff>
                  </from>
                  <to>
                    <xdr:col>0</xdr:col>
                    <xdr:colOff>2009775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UpdateTaskSlips">
                <anchor moveWithCells="1" sizeWithCells="1">
                  <from>
                    <xdr:col>0</xdr:col>
                    <xdr:colOff>2257425</xdr:colOff>
                    <xdr:row>5</xdr:row>
                    <xdr:rowOff>85725</xdr:rowOff>
                  </from>
                  <to>
                    <xdr:col>2</xdr:col>
                    <xdr:colOff>295275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C000"/>
  </sheetPr>
  <dimension ref="A1:AD86"/>
  <sheetViews>
    <sheetView workbookViewId="0">
      <pane ySplit="14" topLeftCell="A15" activePane="bottomLeft" state="frozen"/>
      <selection activeCell="E25" sqref="E25"/>
      <selection pane="bottomLeft" activeCell="D19" sqref="D19"/>
    </sheetView>
  </sheetViews>
  <sheetFormatPr baseColWidth="10" defaultColWidth="11.42578125" defaultRowHeight="12.75" x14ac:dyDescent="0.2"/>
  <cols>
    <col min="1" max="1" width="50" style="33" bestFit="1" customWidth="1"/>
    <col min="2" max="2" width="8.5703125" style="32" customWidth="1"/>
    <col min="3" max="3" width="14" style="33" customWidth="1"/>
    <col min="4" max="4" width="10.85546875" style="33" customWidth="1"/>
    <col min="5" max="5" width="6.5703125" style="32" customWidth="1"/>
    <col min="6" max="30" width="4.42578125" style="32" customWidth="1"/>
    <col min="31" max="16384" width="11.42578125" style="33"/>
  </cols>
  <sheetData>
    <row r="1" spans="1:30" ht="18" x14ac:dyDescent="0.2">
      <c r="A1" s="63">
        <v>3</v>
      </c>
      <c r="B1" s="64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</row>
    <row r="2" spans="1:30" x14ac:dyDescent="0.2"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</row>
    <row r="9" spans="1:30" x14ac:dyDescent="0.2">
      <c r="A9" s="65" t="s">
        <v>12</v>
      </c>
      <c r="B9" s="66">
        <v>15</v>
      </c>
      <c r="C9" s="65"/>
      <c r="D9" s="67"/>
      <c r="E9" s="65" t="s">
        <v>9</v>
      </c>
      <c r="F9" s="65" t="s">
        <v>11</v>
      </c>
      <c r="G9" s="65"/>
      <c r="H9" s="65"/>
      <c r="I9" s="65"/>
      <c r="J9" s="65"/>
      <c r="K9" s="65"/>
      <c r="L9" s="65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</row>
    <row r="10" spans="1:30" x14ac:dyDescent="0.2">
      <c r="A10" s="65" t="s">
        <v>28</v>
      </c>
      <c r="B10" s="66"/>
      <c r="C10" s="65" t="s">
        <v>29</v>
      </c>
      <c r="D10" s="65" t="s">
        <v>17</v>
      </c>
      <c r="E10" s="68">
        <f ca="1">SUM(OFFSET(E14,1,0,TaskRows,1))</f>
        <v>15</v>
      </c>
      <c r="F10" s="68">
        <f ca="1">IF(AND(SUM(OFFSET(F14,1,0,TaskRows,1))=0),0,SUM(OFFSET(F14,1,0,TaskRows,1)))</f>
        <v>14</v>
      </c>
      <c r="G10" s="68">
        <f t="shared" ref="G10:AD10" ca="1" si="0">IF(AND(SUM(OFFSET(G14,1,0,TaskRows,1))=0),"",SUM(OFFSET(G14,1,0,TaskRows,1)))</f>
        <v>14</v>
      </c>
      <c r="H10" s="68">
        <f t="shared" ca="1" si="0"/>
        <v>13</v>
      </c>
      <c r="I10" s="68">
        <f t="shared" ca="1" si="0"/>
        <v>13</v>
      </c>
      <c r="J10" s="68">
        <f t="shared" ca="1" si="0"/>
        <v>12</v>
      </c>
      <c r="K10" s="68">
        <f t="shared" ca="1" si="0"/>
        <v>10</v>
      </c>
      <c r="L10" s="68">
        <f t="shared" ca="1" si="0"/>
        <v>10</v>
      </c>
      <c r="M10" s="68">
        <f t="shared" ca="1" si="0"/>
        <v>8</v>
      </c>
      <c r="N10" s="68">
        <f t="shared" ca="1" si="0"/>
        <v>8</v>
      </c>
      <c r="O10" s="68">
        <f t="shared" ca="1" si="0"/>
        <v>8</v>
      </c>
      <c r="P10" s="68">
        <f t="shared" ca="1" si="0"/>
        <v>5</v>
      </c>
      <c r="Q10" s="68">
        <f t="shared" ca="1" si="0"/>
        <v>3</v>
      </c>
      <c r="R10" s="68">
        <f t="shared" ca="1" si="0"/>
        <v>1</v>
      </c>
      <c r="S10" s="68">
        <f t="shared" ca="1" si="0"/>
        <v>1</v>
      </c>
      <c r="T10" s="68">
        <f t="shared" ca="1" si="0"/>
        <v>1</v>
      </c>
      <c r="U10" s="68" t="str">
        <f t="shared" ca="1" si="0"/>
        <v/>
      </c>
      <c r="V10" s="68" t="str">
        <f t="shared" ca="1" si="0"/>
        <v/>
      </c>
      <c r="W10" s="68" t="str">
        <f t="shared" ca="1" si="0"/>
        <v/>
      </c>
      <c r="X10" s="68" t="str">
        <f t="shared" ca="1" si="0"/>
        <v/>
      </c>
      <c r="Y10" s="68" t="str">
        <f t="shared" ca="1" si="0"/>
        <v/>
      </c>
      <c r="Z10" s="68" t="str">
        <f t="shared" ca="1" si="0"/>
        <v/>
      </c>
      <c r="AA10" s="68" t="str">
        <f t="shared" ca="1" si="0"/>
        <v/>
      </c>
      <c r="AB10" s="68" t="str">
        <f t="shared" ca="1" si="0"/>
        <v/>
      </c>
      <c r="AC10" s="68" t="str">
        <f t="shared" ca="1" si="0"/>
        <v/>
      </c>
      <c r="AD10" s="68" t="str">
        <f t="shared" ca="1" si="0"/>
        <v/>
      </c>
    </row>
    <row r="11" spans="1:30" customFormat="1" hidden="1" x14ac:dyDescent="0.2">
      <c r="A11" t="s">
        <v>22</v>
      </c>
      <c r="B11" s="116">
        <f>IF(COUNTA(A15:A241)=0,1,COUNTA(A15:A241))</f>
        <v>4</v>
      </c>
      <c r="C11" t="s">
        <v>23</v>
      </c>
      <c r="D11" s="116">
        <f ca="1">IF(COUNTIF(F10:AD10,"&gt;0")=0,1,COUNTIF(F10:AD10,"&gt;0"))</f>
        <v>15</v>
      </c>
      <c r="E11" s="116"/>
      <c r="F11" s="116">
        <f ca="1">IF(F14="","",$E10-$E10/($B9-1)*(F14-1))</f>
        <v>15</v>
      </c>
      <c r="G11" s="116">
        <f t="shared" ref="G11:AD11" ca="1" si="1">IF(G14="","",TotalEffort-TotalEffort/(ImplementationDays)*(G14-1))</f>
        <v>14</v>
      </c>
      <c r="H11" s="116">
        <f t="shared" ca="1" si="1"/>
        <v>13</v>
      </c>
      <c r="I11" s="116">
        <f t="shared" ca="1" si="1"/>
        <v>12</v>
      </c>
      <c r="J11" s="116">
        <f t="shared" ca="1" si="1"/>
        <v>11</v>
      </c>
      <c r="K11" s="116">
        <f t="shared" ca="1" si="1"/>
        <v>10</v>
      </c>
      <c r="L11" s="116">
        <f t="shared" ca="1" si="1"/>
        <v>9</v>
      </c>
      <c r="M11" s="116">
        <f t="shared" ca="1" si="1"/>
        <v>8</v>
      </c>
      <c r="N11" s="116">
        <f t="shared" ca="1" si="1"/>
        <v>7</v>
      </c>
      <c r="O11" s="116">
        <f t="shared" ca="1" si="1"/>
        <v>6</v>
      </c>
      <c r="P11" s="116">
        <f t="shared" ca="1" si="1"/>
        <v>5</v>
      </c>
      <c r="Q11" s="116">
        <f t="shared" ca="1" si="1"/>
        <v>4</v>
      </c>
      <c r="R11" s="116">
        <f t="shared" ca="1" si="1"/>
        <v>3</v>
      </c>
      <c r="S11" s="116">
        <f t="shared" ca="1" si="1"/>
        <v>2</v>
      </c>
      <c r="T11" s="116">
        <f t="shared" ca="1" si="1"/>
        <v>1</v>
      </c>
      <c r="U11" s="116" t="str">
        <f t="shared" si="1"/>
        <v/>
      </c>
      <c r="V11" s="116" t="str">
        <f t="shared" si="1"/>
        <v/>
      </c>
      <c r="W11" s="116" t="str">
        <f t="shared" si="1"/>
        <v/>
      </c>
      <c r="X11" s="116" t="str">
        <f t="shared" si="1"/>
        <v/>
      </c>
      <c r="Y11" s="116" t="str">
        <f t="shared" si="1"/>
        <v/>
      </c>
      <c r="Z11" s="116" t="str">
        <f t="shared" si="1"/>
        <v/>
      </c>
      <c r="AA11" s="116" t="str">
        <f t="shared" si="1"/>
        <v/>
      </c>
      <c r="AB11" s="116" t="str">
        <f t="shared" si="1"/>
        <v/>
      </c>
      <c r="AC11" s="116" t="str">
        <f t="shared" si="1"/>
        <v/>
      </c>
      <c r="AD11" s="116" t="str">
        <f t="shared" si="1"/>
        <v/>
      </c>
    </row>
    <row r="12" spans="1:30" customFormat="1" hidden="1" x14ac:dyDescent="0.2">
      <c r="A12" s="52" t="s">
        <v>26</v>
      </c>
      <c r="C12" t="s">
        <v>24</v>
      </c>
      <c r="D12" s="116"/>
      <c r="E12" s="116"/>
      <c r="F12" s="116" t="e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#REF!</v>
      </c>
      <c r="G12" s="116" t="e">
        <f t="shared" ca="1" si="2"/>
        <v>#REF!</v>
      </c>
      <c r="H12" s="116" t="e">
        <f t="shared" ca="1" si="2"/>
        <v>#REF!</v>
      </c>
      <c r="I12" s="116" t="e">
        <f t="shared" ca="1" si="2"/>
        <v>#REF!</v>
      </c>
      <c r="J12" s="116" t="e">
        <f t="shared" ca="1" si="2"/>
        <v>#REF!</v>
      </c>
      <c r="K12" s="116" t="e">
        <f t="shared" ca="1" si="2"/>
        <v>#REF!</v>
      </c>
      <c r="L12" s="116" t="e">
        <f t="shared" ca="1" si="2"/>
        <v>#REF!</v>
      </c>
      <c r="M12" s="116" t="e">
        <f t="shared" ca="1" si="2"/>
        <v>#REF!</v>
      </c>
      <c r="N12" s="116" t="e">
        <f t="shared" ca="1" si="2"/>
        <v>#REF!</v>
      </c>
      <c r="O12" s="116" t="e">
        <f t="shared" ca="1" si="2"/>
        <v>#REF!</v>
      </c>
      <c r="P12" s="116" t="e">
        <f t="shared" ca="1" si="2"/>
        <v>#REF!</v>
      </c>
      <c r="Q12" s="116" t="e">
        <f t="shared" ca="1" si="2"/>
        <v>#REF!</v>
      </c>
      <c r="R12" s="116" t="e">
        <f t="shared" ca="1" si="2"/>
        <v>#REF!</v>
      </c>
      <c r="S12" s="116" t="e">
        <f t="shared" ca="1" si="2"/>
        <v>#REF!</v>
      </c>
      <c r="T12" s="116" t="e">
        <f t="shared" ca="1" si="2"/>
        <v>#REF!</v>
      </c>
      <c r="U12" s="116" t="e">
        <f t="shared" ca="1" si="2"/>
        <v>#REF!</v>
      </c>
      <c r="V12" s="116" t="e">
        <f t="shared" ca="1" si="2"/>
        <v>#REF!</v>
      </c>
      <c r="W12" s="116" t="e">
        <f t="shared" ca="1" si="2"/>
        <v>#REF!</v>
      </c>
      <c r="X12" s="116" t="e">
        <f t="shared" ca="1" si="2"/>
        <v>#REF!</v>
      </c>
      <c r="Y12" s="116" t="e">
        <f t="shared" ca="1" si="2"/>
        <v>#REF!</v>
      </c>
      <c r="Z12" s="116" t="e">
        <f t="shared" ca="1" si="2"/>
        <v>#REF!</v>
      </c>
      <c r="AA12" s="116" t="e">
        <f t="shared" ca="1" si="2"/>
        <v>#REF!</v>
      </c>
      <c r="AB12" s="116" t="e">
        <f t="shared" ca="1" si="2"/>
        <v>#REF!</v>
      </c>
      <c r="AC12" s="116" t="e">
        <f t="shared" ca="1" si="2"/>
        <v>#REF!</v>
      </c>
      <c r="AD12" s="116" t="e">
        <f t="shared" ca="1" si="2"/>
        <v>#REF!</v>
      </c>
    </row>
    <row r="13" spans="1:30" customFormat="1" hidden="1" x14ac:dyDescent="0.2">
      <c r="A13" s="52" t="s">
        <v>27</v>
      </c>
      <c r="C13" t="s">
        <v>25</v>
      </c>
      <c r="D13" s="116">
        <f ca="1">IF(DoneDays&gt;B10,B10,DoneDays)</f>
        <v>0</v>
      </c>
      <c r="E13" s="116"/>
      <c r="F13" s="116">
        <f ca="1">IF(DoneDays&gt;E13,E13+1,"")</f>
        <v>1</v>
      </c>
      <c r="G13" s="116">
        <v>2</v>
      </c>
      <c r="H13" s="116">
        <v>3</v>
      </c>
      <c r="I13" s="116">
        <v>4</v>
      </c>
      <c r="J13" s="116">
        <v>5</v>
      </c>
      <c r="K13" s="116">
        <v>6</v>
      </c>
      <c r="L13" s="116">
        <v>7</v>
      </c>
      <c r="M13" s="116">
        <v>8</v>
      </c>
      <c r="N13" s="116">
        <v>9</v>
      </c>
      <c r="O13" s="116">
        <v>10</v>
      </c>
      <c r="P13" s="116">
        <v>11</v>
      </c>
      <c r="Q13" s="116">
        <v>12</v>
      </c>
      <c r="R13" s="116">
        <v>13</v>
      </c>
      <c r="S13" s="116">
        <v>14</v>
      </c>
      <c r="T13" s="116">
        <v>15</v>
      </c>
      <c r="U13" s="116">
        <v>16</v>
      </c>
      <c r="V13" s="116">
        <v>17</v>
      </c>
      <c r="W13" s="116">
        <v>18</v>
      </c>
      <c r="X13" s="116">
        <v>19</v>
      </c>
      <c r="Y13" s="116">
        <v>20</v>
      </c>
      <c r="Z13" s="116">
        <v>21</v>
      </c>
      <c r="AA13" s="116">
        <v>22</v>
      </c>
      <c r="AB13" s="116">
        <v>23</v>
      </c>
      <c r="AC13" s="116">
        <v>24</v>
      </c>
      <c r="AD13" s="116">
        <v>25</v>
      </c>
    </row>
    <row r="14" spans="1:30" x14ac:dyDescent="0.2">
      <c r="A14" s="65" t="s">
        <v>7</v>
      </c>
      <c r="B14" s="69" t="s">
        <v>21</v>
      </c>
      <c r="C14" s="65" t="s">
        <v>8</v>
      </c>
      <c r="D14" s="65" t="s">
        <v>3</v>
      </c>
      <c r="E14" s="69" t="s">
        <v>10</v>
      </c>
      <c r="F14" s="69">
        <v>1</v>
      </c>
      <c r="G14" s="69">
        <f t="shared" ref="G14:AD14" si="3">IF($B$9&gt;F14,F14+1,"")</f>
        <v>2</v>
      </c>
      <c r="H14" s="69">
        <f t="shared" si="3"/>
        <v>3</v>
      </c>
      <c r="I14" s="69">
        <f t="shared" si="3"/>
        <v>4</v>
      </c>
      <c r="J14" s="69">
        <f t="shared" si="3"/>
        <v>5</v>
      </c>
      <c r="K14" s="69">
        <f t="shared" si="3"/>
        <v>6</v>
      </c>
      <c r="L14" s="69">
        <f t="shared" si="3"/>
        <v>7</v>
      </c>
      <c r="M14" s="69">
        <f t="shared" si="3"/>
        <v>8</v>
      </c>
      <c r="N14" s="69">
        <f t="shared" si="3"/>
        <v>9</v>
      </c>
      <c r="O14" s="69">
        <f t="shared" si="3"/>
        <v>10</v>
      </c>
      <c r="P14" s="69">
        <f t="shared" si="3"/>
        <v>11</v>
      </c>
      <c r="Q14" s="69">
        <f t="shared" si="3"/>
        <v>12</v>
      </c>
      <c r="R14" s="69">
        <f t="shared" si="3"/>
        <v>13</v>
      </c>
      <c r="S14" s="69">
        <f t="shared" si="3"/>
        <v>14</v>
      </c>
      <c r="T14" s="69">
        <f t="shared" si="3"/>
        <v>15</v>
      </c>
      <c r="U14" s="69" t="str">
        <f t="shared" si="3"/>
        <v/>
      </c>
      <c r="V14" s="69" t="str">
        <f t="shared" si="3"/>
        <v/>
      </c>
      <c r="W14" s="69" t="str">
        <f t="shared" si="3"/>
        <v/>
      </c>
      <c r="X14" s="69" t="str">
        <f t="shared" si="3"/>
        <v/>
      </c>
      <c r="Y14" s="69" t="str">
        <f t="shared" si="3"/>
        <v/>
      </c>
      <c r="Z14" s="69" t="str">
        <f t="shared" si="3"/>
        <v/>
      </c>
      <c r="AA14" s="69" t="str">
        <f t="shared" si="3"/>
        <v/>
      </c>
      <c r="AB14" s="69" t="str">
        <f t="shared" si="3"/>
        <v/>
      </c>
      <c r="AC14" s="69" t="str">
        <f t="shared" si="3"/>
        <v/>
      </c>
      <c r="AD14" s="69" t="str">
        <f t="shared" si="3"/>
        <v/>
      </c>
    </row>
    <row r="15" spans="1:30" x14ac:dyDescent="0.2">
      <c r="A15" s="118" t="s">
        <v>153</v>
      </c>
      <c r="B15" s="116">
        <v>12</v>
      </c>
      <c r="C15" s="111" t="s">
        <v>110</v>
      </c>
      <c r="D15" t="s">
        <v>121</v>
      </c>
      <c r="E15" s="116">
        <v>5</v>
      </c>
      <c r="F15" s="116">
        <v>5</v>
      </c>
      <c r="G15" s="116">
        <v>5</v>
      </c>
      <c r="H15" s="116">
        <v>5</v>
      </c>
      <c r="I15" s="116">
        <v>5</v>
      </c>
      <c r="J15" s="116">
        <v>5</v>
      </c>
      <c r="K15" s="32">
        <v>5</v>
      </c>
      <c r="L15" s="32">
        <v>5</v>
      </c>
      <c r="M15" s="32">
        <v>4</v>
      </c>
      <c r="N15" s="32">
        <v>4</v>
      </c>
      <c r="O15" s="32">
        <v>4</v>
      </c>
      <c r="P15" s="32">
        <v>3</v>
      </c>
      <c r="Q15" s="32">
        <v>2</v>
      </c>
      <c r="R15" s="32">
        <v>0</v>
      </c>
      <c r="S15" s="32">
        <v>0</v>
      </c>
      <c r="T15" s="32">
        <v>0</v>
      </c>
    </row>
    <row r="16" spans="1:30" x14ac:dyDescent="0.2">
      <c r="A16" s="118" t="s">
        <v>154</v>
      </c>
      <c r="B16" s="116">
        <v>13</v>
      </c>
      <c r="C16" s="111" t="s">
        <v>109</v>
      </c>
      <c r="D16" t="s">
        <v>90</v>
      </c>
      <c r="E16" s="32">
        <v>3</v>
      </c>
      <c r="F16" s="116">
        <v>3</v>
      </c>
      <c r="G16" s="116">
        <v>3</v>
      </c>
      <c r="H16" s="116">
        <v>3</v>
      </c>
      <c r="I16" s="116">
        <v>3</v>
      </c>
      <c r="J16" s="116">
        <v>2</v>
      </c>
      <c r="K16" s="32">
        <v>2</v>
      </c>
      <c r="L16" s="32">
        <v>2</v>
      </c>
      <c r="M16" s="116">
        <v>2</v>
      </c>
      <c r="N16" s="116">
        <v>2</v>
      </c>
      <c r="O16" s="116">
        <v>2</v>
      </c>
      <c r="P16" s="32">
        <v>1</v>
      </c>
      <c r="Q16" s="32">
        <v>1</v>
      </c>
      <c r="R16" s="116">
        <v>1</v>
      </c>
      <c r="S16" s="32">
        <v>1</v>
      </c>
      <c r="T16" s="32">
        <v>1</v>
      </c>
    </row>
    <row r="17" spans="1:30" x14ac:dyDescent="0.2">
      <c r="A17" s="118" t="s">
        <v>155</v>
      </c>
      <c r="B17" s="116">
        <v>14</v>
      </c>
      <c r="C17" s="111" t="s">
        <v>109</v>
      </c>
      <c r="D17" t="s">
        <v>121</v>
      </c>
      <c r="E17" s="32">
        <v>1</v>
      </c>
      <c r="F17" s="116">
        <v>1</v>
      </c>
      <c r="G17" s="116">
        <v>1</v>
      </c>
      <c r="H17" s="116">
        <v>0</v>
      </c>
      <c r="I17" s="116">
        <v>0</v>
      </c>
      <c r="J17" s="116">
        <v>0</v>
      </c>
      <c r="K17" s="32">
        <v>0</v>
      </c>
      <c r="L17" s="32">
        <v>0</v>
      </c>
      <c r="M17" s="116">
        <v>0</v>
      </c>
      <c r="N17" s="116">
        <v>0</v>
      </c>
      <c r="O17" s="116">
        <v>0</v>
      </c>
      <c r="P17" s="32">
        <v>0</v>
      </c>
      <c r="Q17" s="32">
        <v>0</v>
      </c>
      <c r="R17" s="116">
        <v>0</v>
      </c>
      <c r="S17" s="32">
        <v>0</v>
      </c>
      <c r="T17" s="32">
        <v>0</v>
      </c>
    </row>
    <row r="18" spans="1:30" x14ac:dyDescent="0.2">
      <c r="A18" s="117" t="s">
        <v>156</v>
      </c>
      <c r="B18" s="32">
        <v>16</v>
      </c>
      <c r="C18" s="104" t="s">
        <v>112</v>
      </c>
      <c r="D18" t="s">
        <v>121</v>
      </c>
      <c r="E18" s="32">
        <v>6</v>
      </c>
      <c r="F18" s="116">
        <v>5</v>
      </c>
      <c r="G18" s="116">
        <v>5</v>
      </c>
      <c r="H18" s="32">
        <v>5</v>
      </c>
      <c r="I18" s="32">
        <v>5</v>
      </c>
      <c r="J18" s="32">
        <v>5</v>
      </c>
      <c r="K18" s="32">
        <v>3</v>
      </c>
      <c r="L18" s="32">
        <v>3</v>
      </c>
      <c r="M18" s="32">
        <v>2</v>
      </c>
      <c r="N18" s="32">
        <v>2</v>
      </c>
      <c r="O18" s="32">
        <v>2</v>
      </c>
      <c r="P18" s="32">
        <v>1</v>
      </c>
      <c r="Q18" s="32">
        <v>0</v>
      </c>
      <c r="R18" s="32">
        <v>0</v>
      </c>
      <c r="S18" s="32">
        <v>0</v>
      </c>
      <c r="T18" s="32">
        <v>0</v>
      </c>
    </row>
    <row r="19" spans="1:30" x14ac:dyDescent="0.2">
      <c r="A19" s="104"/>
      <c r="C19" s="104"/>
      <c r="D19"/>
      <c r="F19" s="116"/>
      <c r="G19" s="116"/>
    </row>
    <row r="20" spans="1:30" ht="17.25" customHeight="1" x14ac:dyDescent="0.2">
      <c r="A20" s="103"/>
      <c r="C20" s="104"/>
      <c r="D20"/>
      <c r="F20" s="116"/>
      <c r="G20" s="116"/>
    </row>
    <row r="21" spans="1:30" x14ac:dyDescent="0.2">
      <c r="A21" s="103"/>
      <c r="C21" s="104"/>
      <c r="D21"/>
    </row>
    <row r="22" spans="1:30" ht="15" customHeight="1" x14ac:dyDescent="0.2">
      <c r="A22" s="103"/>
      <c r="C22" s="104"/>
      <c r="D22"/>
    </row>
    <row r="23" spans="1:30" x14ac:dyDescent="0.2">
      <c r="A23" s="31"/>
      <c r="C23" s="104"/>
      <c r="D23"/>
      <c r="E23" s="33"/>
      <c r="H23" s="102"/>
    </row>
    <row r="24" spans="1:30" x14ac:dyDescent="0.2">
      <c r="A24" s="31"/>
      <c r="C24" s="104"/>
      <c r="D24"/>
    </row>
    <row r="25" spans="1:30" x14ac:dyDescent="0.2">
      <c r="A25" s="31"/>
      <c r="C25" s="104"/>
      <c r="D25"/>
    </row>
    <row r="26" spans="1:30" x14ac:dyDescent="0.2">
      <c r="A26" s="31"/>
      <c r="C26" s="104"/>
      <c r="D26"/>
      <c r="AC26" s="32" t="str">
        <f t="shared" ref="AC26:AD41" si="4">IF(OR(AC$14="",$E26=""),"",AB26)</f>
        <v/>
      </c>
      <c r="AD26" s="32" t="str">
        <f t="shared" si="4"/>
        <v/>
      </c>
    </row>
    <row r="27" spans="1:30" x14ac:dyDescent="0.2">
      <c r="A27" s="31"/>
      <c r="C27" s="104"/>
      <c r="D27"/>
      <c r="AC27" s="32" t="str">
        <f t="shared" si="4"/>
        <v/>
      </c>
      <c r="AD27" s="32" t="str">
        <f t="shared" si="4"/>
        <v/>
      </c>
    </row>
    <row r="28" spans="1:30" x14ac:dyDescent="0.2">
      <c r="A28" s="31"/>
      <c r="C28" s="104"/>
      <c r="D28"/>
      <c r="AC28" s="32" t="str">
        <f t="shared" si="4"/>
        <v/>
      </c>
      <c r="AD28" s="32" t="str">
        <f t="shared" si="4"/>
        <v/>
      </c>
    </row>
    <row r="29" spans="1:30" x14ac:dyDescent="0.2">
      <c r="A29" s="31"/>
      <c r="C29" s="104"/>
      <c r="D29"/>
      <c r="AC29" s="32" t="str">
        <f t="shared" si="4"/>
        <v/>
      </c>
      <c r="AD29" s="32" t="str">
        <f t="shared" si="4"/>
        <v/>
      </c>
    </row>
    <row r="30" spans="1:30" x14ac:dyDescent="0.2">
      <c r="A30" s="31"/>
      <c r="C30" s="104"/>
      <c r="D30"/>
      <c r="AC30" s="32" t="str">
        <f t="shared" si="4"/>
        <v/>
      </c>
      <c r="AD30" s="32" t="str">
        <f t="shared" si="4"/>
        <v/>
      </c>
    </row>
    <row r="31" spans="1:30" x14ac:dyDescent="0.2">
      <c r="A31" s="31"/>
      <c r="C31" s="104"/>
      <c r="D31"/>
      <c r="AC31" s="32" t="str">
        <f t="shared" si="4"/>
        <v/>
      </c>
      <c r="AD31" s="32" t="str">
        <f t="shared" si="4"/>
        <v/>
      </c>
    </row>
    <row r="32" spans="1:30" x14ac:dyDescent="0.2">
      <c r="A32" s="31"/>
      <c r="C32" s="104"/>
      <c r="D32"/>
      <c r="AC32" s="32" t="str">
        <f t="shared" si="4"/>
        <v/>
      </c>
      <c r="AD32" s="32" t="str">
        <f t="shared" si="4"/>
        <v/>
      </c>
    </row>
    <row r="33" spans="1:30" x14ac:dyDescent="0.2">
      <c r="A33" s="103"/>
      <c r="C33" s="104"/>
      <c r="D33"/>
      <c r="AC33" s="32" t="str">
        <f t="shared" si="4"/>
        <v/>
      </c>
      <c r="AD33" s="32" t="str">
        <f t="shared" si="4"/>
        <v/>
      </c>
    </row>
    <row r="34" spans="1:30" x14ac:dyDescent="0.2">
      <c r="A34" s="103"/>
      <c r="C34" s="104"/>
      <c r="D34"/>
      <c r="AC34" s="32" t="str">
        <f t="shared" si="4"/>
        <v/>
      </c>
      <c r="AD34" s="32" t="str">
        <f t="shared" si="4"/>
        <v/>
      </c>
    </row>
    <row r="35" spans="1:30" x14ac:dyDescent="0.2">
      <c r="A35" s="31"/>
      <c r="C35"/>
      <c r="AC35" s="32" t="str">
        <f t="shared" si="4"/>
        <v/>
      </c>
      <c r="AD35" s="32" t="str">
        <f t="shared" si="4"/>
        <v/>
      </c>
    </row>
    <row r="36" spans="1:30" x14ac:dyDescent="0.2">
      <c r="A36" s="31"/>
      <c r="C36"/>
      <c r="AC36" s="32" t="str">
        <f t="shared" si="4"/>
        <v/>
      </c>
      <c r="AD36" s="32" t="str">
        <f t="shared" si="4"/>
        <v/>
      </c>
    </row>
    <row r="37" spans="1:30" x14ac:dyDescent="0.2">
      <c r="A37" s="31"/>
      <c r="C37"/>
      <c r="AC37" s="32" t="str">
        <f t="shared" si="4"/>
        <v/>
      </c>
      <c r="AD37" s="32" t="str">
        <f t="shared" si="4"/>
        <v/>
      </c>
    </row>
    <row r="38" spans="1:30" x14ac:dyDescent="0.2">
      <c r="A38" s="31"/>
      <c r="C38"/>
      <c r="AC38" s="32" t="str">
        <f t="shared" si="4"/>
        <v/>
      </c>
      <c r="AD38" s="32" t="str">
        <f t="shared" si="4"/>
        <v/>
      </c>
    </row>
    <row r="39" spans="1:30" x14ac:dyDescent="0.2">
      <c r="A39" s="31"/>
      <c r="C39"/>
      <c r="AC39" s="32" t="str">
        <f t="shared" si="4"/>
        <v/>
      </c>
      <c r="AD39" s="32" t="str">
        <f t="shared" si="4"/>
        <v/>
      </c>
    </row>
    <row r="40" spans="1:30" x14ac:dyDescent="0.2">
      <c r="A40" s="31"/>
      <c r="C40"/>
      <c r="D40" s="33" t="str">
        <f t="shared" ref="D40:D63" si="5">IF(A40&lt;&gt;"","Planned","")</f>
        <v/>
      </c>
      <c r="F40" s="32" t="str">
        <f t="shared" ref="F40:U62" si="6">IF(OR(F$14="",$E40=""),"",E40)</f>
        <v/>
      </c>
      <c r="AC40" s="32" t="str">
        <f t="shared" si="4"/>
        <v/>
      </c>
      <c r="AD40" s="32" t="str">
        <f t="shared" si="4"/>
        <v/>
      </c>
    </row>
    <row r="41" spans="1:30" x14ac:dyDescent="0.2">
      <c r="C41"/>
      <c r="D41" s="33" t="str">
        <f t="shared" si="5"/>
        <v/>
      </c>
      <c r="F41" s="32" t="str">
        <f t="shared" si="6"/>
        <v/>
      </c>
      <c r="AC41" s="32" t="str">
        <f t="shared" si="4"/>
        <v/>
      </c>
      <c r="AD41" s="32" t="str">
        <f t="shared" si="4"/>
        <v/>
      </c>
    </row>
    <row r="42" spans="1:30" x14ac:dyDescent="0.2">
      <c r="C42"/>
      <c r="D42" s="33" t="str">
        <f t="shared" si="5"/>
        <v/>
      </c>
      <c r="F42" s="32" t="str">
        <f t="shared" si="6"/>
        <v/>
      </c>
      <c r="AC42" s="32" t="str">
        <f t="shared" ref="AC42:AD60" si="7">IF(OR(AC$14="",$E42=""),"",AB42)</f>
        <v/>
      </c>
      <c r="AD42" s="32" t="str">
        <f t="shared" si="7"/>
        <v/>
      </c>
    </row>
    <row r="43" spans="1:30" x14ac:dyDescent="0.2">
      <c r="C43"/>
      <c r="D43" s="33" t="str">
        <f t="shared" si="5"/>
        <v/>
      </c>
      <c r="F43" s="32" t="str">
        <f t="shared" si="6"/>
        <v/>
      </c>
      <c r="AC43" s="32" t="str">
        <f t="shared" si="7"/>
        <v/>
      </c>
      <c r="AD43" s="32" t="str">
        <f t="shared" si="7"/>
        <v/>
      </c>
    </row>
    <row r="44" spans="1:30" x14ac:dyDescent="0.2">
      <c r="C44"/>
      <c r="D44" s="33" t="str">
        <f t="shared" si="5"/>
        <v/>
      </c>
      <c r="F44" s="32" t="str">
        <f t="shared" si="6"/>
        <v/>
      </c>
      <c r="AC44" s="32" t="str">
        <f t="shared" si="7"/>
        <v/>
      </c>
      <c r="AD44" s="32" t="str">
        <f t="shared" si="7"/>
        <v/>
      </c>
    </row>
    <row r="45" spans="1:30" x14ac:dyDescent="0.2">
      <c r="C45"/>
      <c r="D45" s="33" t="str">
        <f t="shared" si="5"/>
        <v/>
      </c>
      <c r="F45" s="32" t="str">
        <f t="shared" si="6"/>
        <v/>
      </c>
      <c r="AC45" s="32" t="str">
        <f t="shared" si="7"/>
        <v/>
      </c>
      <c r="AD45" s="32" t="str">
        <f t="shared" si="7"/>
        <v/>
      </c>
    </row>
    <row r="46" spans="1:30" x14ac:dyDescent="0.2">
      <c r="C46"/>
      <c r="D46" s="33" t="str">
        <f t="shared" si="5"/>
        <v/>
      </c>
      <c r="F46" s="32" t="str">
        <f t="shared" si="6"/>
        <v/>
      </c>
      <c r="AC46" s="32" t="str">
        <f t="shared" si="7"/>
        <v/>
      </c>
      <c r="AD46" s="32" t="str">
        <f t="shared" si="7"/>
        <v/>
      </c>
    </row>
    <row r="47" spans="1:30" x14ac:dyDescent="0.2">
      <c r="C47"/>
      <c r="D47" s="33" t="str">
        <f t="shared" si="5"/>
        <v/>
      </c>
      <c r="F47" s="32" t="str">
        <f t="shared" si="6"/>
        <v/>
      </c>
      <c r="AC47" s="32" t="str">
        <f t="shared" si="7"/>
        <v/>
      </c>
      <c r="AD47" s="32" t="str">
        <f t="shared" si="7"/>
        <v/>
      </c>
    </row>
    <row r="48" spans="1:30" x14ac:dyDescent="0.2">
      <c r="B48" s="33"/>
      <c r="C48"/>
      <c r="D48" s="33" t="str">
        <f t="shared" si="5"/>
        <v/>
      </c>
      <c r="F48" s="32" t="str">
        <f t="shared" si="6"/>
        <v/>
      </c>
      <c r="AC48" s="32" t="str">
        <f t="shared" si="7"/>
        <v/>
      </c>
      <c r="AD48" s="32" t="str">
        <f t="shared" si="7"/>
        <v/>
      </c>
    </row>
    <row r="49" spans="2:30" x14ac:dyDescent="0.2">
      <c r="B49" s="33"/>
      <c r="C49"/>
      <c r="D49" s="33" t="str">
        <f t="shared" si="5"/>
        <v/>
      </c>
      <c r="F49" s="32" t="str">
        <f t="shared" si="6"/>
        <v/>
      </c>
      <c r="AC49" s="32" t="str">
        <f t="shared" si="7"/>
        <v/>
      </c>
      <c r="AD49" s="32" t="str">
        <f t="shared" si="7"/>
        <v/>
      </c>
    </row>
    <row r="50" spans="2:30" x14ac:dyDescent="0.2">
      <c r="B50" s="33"/>
      <c r="C50"/>
      <c r="D50" s="33" t="str">
        <f t="shared" si="5"/>
        <v/>
      </c>
      <c r="F50" s="32" t="str">
        <f t="shared" si="6"/>
        <v/>
      </c>
      <c r="AC50" s="32" t="str">
        <f t="shared" si="7"/>
        <v/>
      </c>
      <c r="AD50" s="32" t="str">
        <f t="shared" si="7"/>
        <v/>
      </c>
    </row>
    <row r="51" spans="2:30" x14ac:dyDescent="0.2">
      <c r="B51" s="33"/>
      <c r="C51"/>
      <c r="D51" s="33" t="str">
        <f t="shared" si="5"/>
        <v/>
      </c>
      <c r="F51" s="32" t="str">
        <f t="shared" si="6"/>
        <v/>
      </c>
      <c r="AC51" s="32" t="str">
        <f t="shared" si="7"/>
        <v/>
      </c>
      <c r="AD51" s="32" t="str">
        <f t="shared" si="7"/>
        <v/>
      </c>
    </row>
    <row r="52" spans="2:30" x14ac:dyDescent="0.2">
      <c r="B52" s="33"/>
      <c r="C52"/>
      <c r="D52" s="33" t="str">
        <f t="shared" si="5"/>
        <v/>
      </c>
      <c r="F52" s="32" t="str">
        <f t="shared" si="6"/>
        <v/>
      </c>
      <c r="AC52" s="32" t="str">
        <f t="shared" si="7"/>
        <v/>
      </c>
      <c r="AD52" s="32" t="str">
        <f t="shared" si="7"/>
        <v/>
      </c>
    </row>
    <row r="53" spans="2:30" x14ac:dyDescent="0.2">
      <c r="B53" s="33"/>
      <c r="C53"/>
      <c r="D53" s="33" t="str">
        <f t="shared" si="5"/>
        <v/>
      </c>
      <c r="F53" s="32" t="str">
        <f t="shared" si="6"/>
        <v/>
      </c>
      <c r="AC53" s="32" t="str">
        <f t="shared" si="7"/>
        <v/>
      </c>
      <c r="AD53" s="32" t="str">
        <f t="shared" si="7"/>
        <v/>
      </c>
    </row>
    <row r="54" spans="2:30" x14ac:dyDescent="0.2">
      <c r="B54" s="33"/>
      <c r="C54"/>
      <c r="D54" s="33" t="str">
        <f t="shared" si="5"/>
        <v/>
      </c>
      <c r="F54" s="32" t="str">
        <f t="shared" si="6"/>
        <v/>
      </c>
      <c r="AC54" s="32" t="str">
        <f t="shared" si="7"/>
        <v/>
      </c>
      <c r="AD54" s="32" t="str">
        <f t="shared" si="7"/>
        <v/>
      </c>
    </row>
    <row r="55" spans="2:30" x14ac:dyDescent="0.2">
      <c r="B55" s="33"/>
      <c r="C55"/>
      <c r="D55" s="33" t="str">
        <f t="shared" si="5"/>
        <v/>
      </c>
      <c r="F55" s="32" t="str">
        <f t="shared" si="6"/>
        <v/>
      </c>
      <c r="AC55" s="32" t="str">
        <f t="shared" si="7"/>
        <v/>
      </c>
      <c r="AD55" s="32" t="str">
        <f t="shared" si="7"/>
        <v/>
      </c>
    </row>
    <row r="56" spans="2:30" x14ac:dyDescent="0.2">
      <c r="B56" s="33"/>
      <c r="C56"/>
      <c r="D56" s="33" t="str">
        <f t="shared" si="5"/>
        <v/>
      </c>
      <c r="F56" s="32" t="str">
        <f t="shared" si="6"/>
        <v/>
      </c>
      <c r="AC56" s="32" t="str">
        <f t="shared" si="7"/>
        <v/>
      </c>
      <c r="AD56" s="32" t="str">
        <f t="shared" si="7"/>
        <v/>
      </c>
    </row>
    <row r="57" spans="2:30" x14ac:dyDescent="0.2">
      <c r="B57" s="33"/>
      <c r="C57"/>
      <c r="D57" s="33" t="str">
        <f t="shared" si="5"/>
        <v/>
      </c>
      <c r="F57" s="32" t="str">
        <f t="shared" si="6"/>
        <v/>
      </c>
      <c r="AC57" s="32" t="str">
        <f t="shared" si="7"/>
        <v/>
      </c>
      <c r="AD57" s="32" t="str">
        <f t="shared" si="7"/>
        <v/>
      </c>
    </row>
    <row r="58" spans="2:30" x14ac:dyDescent="0.2">
      <c r="B58" s="33"/>
      <c r="C58"/>
      <c r="D58" s="33" t="str">
        <f t="shared" si="5"/>
        <v/>
      </c>
      <c r="F58" s="32" t="str">
        <f t="shared" si="6"/>
        <v/>
      </c>
      <c r="AC58" s="32" t="str">
        <f t="shared" si="7"/>
        <v/>
      </c>
      <c r="AD58" s="32" t="str">
        <f t="shared" si="7"/>
        <v/>
      </c>
    </row>
    <row r="59" spans="2:30" x14ac:dyDescent="0.2">
      <c r="B59" s="33"/>
      <c r="C59"/>
      <c r="D59" s="33" t="str">
        <f t="shared" si="5"/>
        <v/>
      </c>
      <c r="F59" s="32" t="str">
        <f t="shared" si="6"/>
        <v/>
      </c>
      <c r="AC59" s="32" t="str">
        <f t="shared" si="7"/>
        <v/>
      </c>
      <c r="AD59" s="32" t="str">
        <f t="shared" si="7"/>
        <v/>
      </c>
    </row>
    <row r="60" spans="2:30" x14ac:dyDescent="0.2">
      <c r="B60" s="33"/>
      <c r="C60"/>
      <c r="D60" s="33" t="str">
        <f t="shared" si="5"/>
        <v/>
      </c>
      <c r="F60" s="32" t="str">
        <f t="shared" si="6"/>
        <v/>
      </c>
      <c r="AC60" s="32" t="str">
        <f t="shared" si="7"/>
        <v/>
      </c>
      <c r="AD60" s="32" t="str">
        <f t="shared" si="7"/>
        <v/>
      </c>
    </row>
    <row r="61" spans="2:30" x14ac:dyDescent="0.2">
      <c r="B61" s="33"/>
      <c r="C61"/>
      <c r="D61" s="33" t="str">
        <f t="shared" si="5"/>
        <v/>
      </c>
      <c r="F61" s="32" t="str">
        <f t="shared" si="6"/>
        <v/>
      </c>
      <c r="G61" s="32" t="str">
        <f t="shared" si="6"/>
        <v/>
      </c>
      <c r="H61" s="32" t="str">
        <f t="shared" si="6"/>
        <v/>
      </c>
      <c r="I61" s="32" t="str">
        <f t="shared" si="6"/>
        <v/>
      </c>
      <c r="J61" s="32" t="str">
        <f t="shared" si="6"/>
        <v/>
      </c>
      <c r="K61" s="32" t="str">
        <f t="shared" si="6"/>
        <v/>
      </c>
      <c r="L61" s="32" t="str">
        <f t="shared" si="6"/>
        <v/>
      </c>
      <c r="M61" s="32" t="str">
        <f t="shared" si="6"/>
        <v/>
      </c>
      <c r="N61" s="32" t="str">
        <f t="shared" si="6"/>
        <v/>
      </c>
      <c r="O61" s="32" t="str">
        <f t="shared" si="6"/>
        <v/>
      </c>
      <c r="P61" s="32" t="str">
        <f t="shared" si="6"/>
        <v/>
      </c>
      <c r="Q61" s="32" t="str">
        <f t="shared" si="6"/>
        <v/>
      </c>
      <c r="R61" s="32" t="str">
        <f t="shared" si="6"/>
        <v/>
      </c>
      <c r="S61" s="32" t="str">
        <f t="shared" si="6"/>
        <v/>
      </c>
      <c r="T61" s="32" t="str">
        <f t="shared" si="6"/>
        <v/>
      </c>
      <c r="U61" s="32" t="str">
        <f t="shared" si="6"/>
        <v/>
      </c>
      <c r="V61" s="32" t="str">
        <f t="shared" ref="V61:AD62" si="8">IF(OR(V$14="",$E61=""),"",U61)</f>
        <v/>
      </c>
      <c r="W61" s="32" t="str">
        <f t="shared" si="8"/>
        <v/>
      </c>
      <c r="X61" s="32" t="str">
        <f t="shared" si="8"/>
        <v/>
      </c>
      <c r="Y61" s="32" t="str">
        <f t="shared" si="8"/>
        <v/>
      </c>
      <c r="Z61" s="32" t="str">
        <f t="shared" si="8"/>
        <v/>
      </c>
      <c r="AA61" s="32" t="str">
        <f t="shared" si="8"/>
        <v/>
      </c>
      <c r="AB61" s="32" t="str">
        <f t="shared" si="8"/>
        <v/>
      </c>
      <c r="AC61" s="32" t="str">
        <f t="shared" si="8"/>
        <v/>
      </c>
      <c r="AD61" s="32" t="str">
        <f t="shared" si="8"/>
        <v/>
      </c>
    </row>
    <row r="62" spans="2:30" x14ac:dyDescent="0.2">
      <c r="B62" s="33"/>
      <c r="C62"/>
      <c r="D62" s="33" t="str">
        <f t="shared" si="5"/>
        <v/>
      </c>
      <c r="F62" s="32" t="str">
        <f t="shared" si="6"/>
        <v/>
      </c>
      <c r="G62" s="32" t="str">
        <f t="shared" si="6"/>
        <v/>
      </c>
      <c r="H62" s="32" t="str">
        <f t="shared" si="6"/>
        <v/>
      </c>
      <c r="I62" s="32" t="str">
        <f t="shared" si="6"/>
        <v/>
      </c>
      <c r="J62" s="32" t="str">
        <f t="shared" si="6"/>
        <v/>
      </c>
      <c r="K62" s="32" t="str">
        <f t="shared" si="6"/>
        <v/>
      </c>
      <c r="L62" s="32" t="str">
        <f t="shared" si="6"/>
        <v/>
      </c>
      <c r="M62" s="32" t="str">
        <f t="shared" si="6"/>
        <v/>
      </c>
      <c r="N62" s="32" t="str">
        <f t="shared" si="6"/>
        <v/>
      </c>
      <c r="O62" s="32" t="str">
        <f t="shared" si="6"/>
        <v/>
      </c>
      <c r="P62" s="32" t="str">
        <f t="shared" si="6"/>
        <v/>
      </c>
      <c r="Q62" s="32" t="str">
        <f t="shared" si="6"/>
        <v/>
      </c>
      <c r="R62" s="32" t="str">
        <f t="shared" si="6"/>
        <v/>
      </c>
      <c r="S62" s="32" t="str">
        <f t="shared" si="6"/>
        <v/>
      </c>
      <c r="T62" s="32" t="str">
        <f t="shared" si="6"/>
        <v/>
      </c>
      <c r="U62" s="32" t="str">
        <f t="shared" si="6"/>
        <v/>
      </c>
      <c r="V62" s="32" t="str">
        <f t="shared" si="8"/>
        <v/>
      </c>
      <c r="W62" s="32" t="str">
        <f t="shared" si="8"/>
        <v/>
      </c>
      <c r="X62" s="32" t="str">
        <f t="shared" si="8"/>
        <v/>
      </c>
      <c r="Y62" s="32" t="str">
        <f t="shared" si="8"/>
        <v/>
      </c>
      <c r="Z62" s="32" t="str">
        <f t="shared" si="8"/>
        <v/>
      </c>
      <c r="AA62" s="32" t="str">
        <f t="shared" si="8"/>
        <v/>
      </c>
      <c r="AB62" s="32" t="str">
        <f t="shared" si="8"/>
        <v/>
      </c>
      <c r="AC62" s="32" t="str">
        <f t="shared" si="8"/>
        <v/>
      </c>
      <c r="AD62" s="32" t="str">
        <f t="shared" si="8"/>
        <v/>
      </c>
    </row>
    <row r="63" spans="2:30" x14ac:dyDescent="0.2">
      <c r="B63" s="33"/>
      <c r="C63"/>
      <c r="D63" s="33" t="str">
        <f t="shared" si="5"/>
        <v/>
      </c>
    </row>
    <row r="64" spans="2:30" x14ac:dyDescent="0.2">
      <c r="B64" s="33"/>
      <c r="C64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</row>
    <row r="65" spans="2:30" x14ac:dyDescent="0.2">
      <c r="B65" s="33"/>
      <c r="C65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</row>
    <row r="66" spans="2:30" x14ac:dyDescent="0.2">
      <c r="B66" s="33"/>
      <c r="C66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</row>
    <row r="67" spans="2:30" x14ac:dyDescent="0.2">
      <c r="B67" s="33"/>
      <c r="C67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</row>
    <row r="68" spans="2:30" x14ac:dyDescent="0.2">
      <c r="B68" s="33"/>
      <c r="C68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</row>
    <row r="69" spans="2:30" x14ac:dyDescent="0.2">
      <c r="B69" s="33"/>
      <c r="C69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</row>
    <row r="70" spans="2:30" x14ac:dyDescent="0.2">
      <c r="B70" s="33"/>
      <c r="C70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</row>
    <row r="71" spans="2:30" x14ac:dyDescent="0.2">
      <c r="B71" s="33"/>
      <c r="C71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</row>
    <row r="72" spans="2:30" x14ac:dyDescent="0.2">
      <c r="B72" s="33"/>
      <c r="C72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</row>
    <row r="73" spans="2:30" x14ac:dyDescent="0.2">
      <c r="B73" s="33"/>
      <c r="C73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</row>
    <row r="74" spans="2:30" x14ac:dyDescent="0.2">
      <c r="B74" s="33"/>
      <c r="C74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</row>
    <row r="75" spans="2:30" x14ac:dyDescent="0.2">
      <c r="B75" s="33"/>
      <c r="C75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</row>
    <row r="76" spans="2:30" x14ac:dyDescent="0.2">
      <c r="B76" s="33"/>
      <c r="C76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</row>
    <row r="77" spans="2:30" x14ac:dyDescent="0.2">
      <c r="B77" s="33"/>
      <c r="C77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</row>
    <row r="78" spans="2:30" x14ac:dyDescent="0.2">
      <c r="B78" s="33"/>
      <c r="C78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</row>
    <row r="79" spans="2:30" x14ac:dyDescent="0.2">
      <c r="B79" s="33"/>
      <c r="C79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</row>
    <row r="80" spans="2:30" x14ac:dyDescent="0.2">
      <c r="B80" s="33"/>
      <c r="C80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</row>
    <row r="81" spans="2:30" x14ac:dyDescent="0.2">
      <c r="B81" s="33"/>
      <c r="C81"/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</row>
    <row r="82" spans="2:30" x14ac:dyDescent="0.2">
      <c r="B82" s="33"/>
      <c r="C82"/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</row>
    <row r="83" spans="2:30" x14ac:dyDescent="0.2">
      <c r="B83" s="33"/>
      <c r="C8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</row>
    <row r="84" spans="2:30" x14ac:dyDescent="0.2">
      <c r="B84" s="33"/>
      <c r="C84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</row>
    <row r="85" spans="2:30" x14ac:dyDescent="0.2">
      <c r="B85" s="33"/>
      <c r="C85"/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</row>
    <row r="86" spans="2:30" x14ac:dyDescent="0.2">
      <c r="B86" s="33"/>
      <c r="C86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</row>
  </sheetData>
  <conditionalFormatting sqref="A35:AD57 B15:E17 A20:C34 E20 E21:F22 H20:H22 K20:L22 N21:O22 N20 U20:AD20 Q21:AD22 D18:D34 E24:AD34 F23:AD23">
    <cfRule type="expression" dxfId="66" priority="59" stopIfTrue="1">
      <formula>$D15="Done"</formula>
    </cfRule>
    <cfRule type="expression" dxfId="65" priority="60" stopIfTrue="1">
      <formula>$D15="Ongoing"</formula>
    </cfRule>
  </conditionalFormatting>
  <conditionalFormatting sqref="N19 N18:O18 Q18:AD18 F18:M19 Q19 T19:AD19">
    <cfRule type="expression" dxfId="64" priority="61" stopIfTrue="1">
      <formula>$D16="Done"</formula>
    </cfRule>
    <cfRule type="expression" dxfId="63" priority="62" stopIfTrue="1">
      <formula>$D16="Ongoing"</formula>
    </cfRule>
  </conditionalFormatting>
  <conditionalFormatting sqref="F15:F17 H15:H17 K15:AD15 K16:L17 U16:AD17">
    <cfRule type="expression" dxfId="62" priority="63" stopIfTrue="1">
      <formula>#REF!="Done"</formula>
    </cfRule>
    <cfRule type="expression" dxfId="61" priority="64" stopIfTrue="1">
      <formula>#REF!="Ongoing"</formula>
    </cfRule>
  </conditionalFormatting>
  <conditionalFormatting sqref="G21:G22">
    <cfRule type="expression" dxfId="60" priority="53" stopIfTrue="1">
      <formula>$D21="Done"</formula>
    </cfRule>
    <cfRule type="expression" dxfId="59" priority="54" stopIfTrue="1">
      <formula>$D21="Ongoing"</formula>
    </cfRule>
  </conditionalFormatting>
  <conditionalFormatting sqref="G15:G17">
    <cfRule type="expression" dxfId="58" priority="57" stopIfTrue="1">
      <formula>#REF!="Done"</formula>
    </cfRule>
    <cfRule type="expression" dxfId="57" priority="58" stopIfTrue="1">
      <formula>#REF!="Ongoing"</formula>
    </cfRule>
  </conditionalFormatting>
  <conditionalFormatting sqref="I20:I22">
    <cfRule type="expression" dxfId="56" priority="47" stopIfTrue="1">
      <formula>$D20="Done"</formula>
    </cfRule>
    <cfRule type="expression" dxfId="55" priority="48" stopIfTrue="1">
      <formula>$D20="Ongoing"</formula>
    </cfRule>
  </conditionalFormatting>
  <conditionalFormatting sqref="I15:I17">
    <cfRule type="expression" dxfId="54" priority="51" stopIfTrue="1">
      <formula>#REF!="Done"</formula>
    </cfRule>
    <cfRule type="expression" dxfId="53" priority="52" stopIfTrue="1">
      <formula>#REF!="Ongoing"</formula>
    </cfRule>
  </conditionalFormatting>
  <conditionalFormatting sqref="J20:J22">
    <cfRule type="expression" dxfId="52" priority="41" stopIfTrue="1">
      <formula>$D20="Done"</formula>
    </cfRule>
    <cfRule type="expression" dxfId="51" priority="42" stopIfTrue="1">
      <formula>$D20="Ongoing"</formula>
    </cfRule>
  </conditionalFormatting>
  <conditionalFormatting sqref="J15:J17">
    <cfRule type="expression" dxfId="50" priority="45" stopIfTrue="1">
      <formula>#REF!="Done"</formula>
    </cfRule>
    <cfRule type="expression" dxfId="49" priority="46" stopIfTrue="1">
      <formula>#REF!="Ongoing"</formula>
    </cfRule>
  </conditionalFormatting>
  <conditionalFormatting sqref="M16:M17 P16:Q17">
    <cfRule type="expression" dxfId="48" priority="39" stopIfTrue="1">
      <formula>#REF!="Done"</formula>
    </cfRule>
    <cfRule type="expression" dxfId="47" priority="40" stopIfTrue="1">
      <formula>#REF!="Ongoing"</formula>
    </cfRule>
  </conditionalFormatting>
  <conditionalFormatting sqref="N16:N17">
    <cfRule type="expression" dxfId="46" priority="37" stopIfTrue="1">
      <formula>#REF!="Done"</formula>
    </cfRule>
    <cfRule type="expression" dxfId="45" priority="38" stopIfTrue="1">
      <formula>#REF!="Ongoing"</formula>
    </cfRule>
  </conditionalFormatting>
  <conditionalFormatting sqref="O16:O17">
    <cfRule type="expression" dxfId="44" priority="35" stopIfTrue="1">
      <formula>#REF!="Done"</formula>
    </cfRule>
    <cfRule type="expression" dxfId="43" priority="36" stopIfTrue="1">
      <formula>#REF!="Ongoing"</formula>
    </cfRule>
  </conditionalFormatting>
  <conditionalFormatting sqref="S16:T17">
    <cfRule type="expression" dxfId="42" priority="33" stopIfTrue="1">
      <formula>#REF!="Done"</formula>
    </cfRule>
    <cfRule type="expression" dxfId="41" priority="34" stopIfTrue="1">
      <formula>#REF!="Ongoing"</formula>
    </cfRule>
  </conditionalFormatting>
  <conditionalFormatting sqref="R16:R17">
    <cfRule type="expression" dxfId="40" priority="31" stopIfTrue="1">
      <formula>#REF!="Done"</formula>
    </cfRule>
    <cfRule type="expression" dxfId="39" priority="32" stopIfTrue="1">
      <formula>#REF!="Ongoing"</formula>
    </cfRule>
  </conditionalFormatting>
  <conditionalFormatting sqref="M20:M22">
    <cfRule type="expression" dxfId="38" priority="27" stopIfTrue="1">
      <formula>$D20="Done"</formula>
    </cfRule>
    <cfRule type="expression" dxfId="37" priority="28" stopIfTrue="1">
      <formula>$D20="Ongoing"</formula>
    </cfRule>
  </conditionalFormatting>
  <conditionalFormatting sqref="O20 Q20">
    <cfRule type="expression" dxfId="36" priority="23" stopIfTrue="1">
      <formula>$D20="Done"</formula>
    </cfRule>
    <cfRule type="expression" dxfId="35" priority="24" stopIfTrue="1">
      <formula>$D20="Ongoing"</formula>
    </cfRule>
  </conditionalFormatting>
  <conditionalFormatting sqref="O19">
    <cfRule type="expression" dxfId="34" priority="25" stopIfTrue="1">
      <formula>$D17="Done"</formula>
    </cfRule>
    <cfRule type="expression" dxfId="33" priority="26" stopIfTrue="1">
      <formula>$D17="Ongoing"</formula>
    </cfRule>
  </conditionalFormatting>
  <conditionalFormatting sqref="R20 T20">
    <cfRule type="expression" dxfId="32" priority="19" stopIfTrue="1">
      <formula>$D20="Done"</formula>
    </cfRule>
    <cfRule type="expression" dxfId="31" priority="20" stopIfTrue="1">
      <formula>$D20="Ongoing"</formula>
    </cfRule>
  </conditionalFormatting>
  <conditionalFormatting sqref="R19">
    <cfRule type="expression" dxfId="30" priority="21" stopIfTrue="1">
      <formula>$D17="Done"</formula>
    </cfRule>
    <cfRule type="expression" dxfId="29" priority="22" stopIfTrue="1">
      <formula>$D17="Ongoing"</formula>
    </cfRule>
  </conditionalFormatting>
  <conditionalFormatting sqref="S20">
    <cfRule type="expression" dxfId="28" priority="15" stopIfTrue="1">
      <formula>$D20="Done"</formula>
    </cfRule>
    <cfRule type="expression" dxfId="27" priority="16" stopIfTrue="1">
      <formula>$D20="Ongoing"</formula>
    </cfRule>
  </conditionalFormatting>
  <conditionalFormatting sqref="S19">
    <cfRule type="expression" dxfId="26" priority="17" stopIfTrue="1">
      <formula>$D17="Done"</formula>
    </cfRule>
    <cfRule type="expression" dxfId="25" priority="18" stopIfTrue="1">
      <formula>$D17="Ongoing"</formula>
    </cfRule>
  </conditionalFormatting>
  <conditionalFormatting sqref="P21:P22">
    <cfRule type="expression" dxfId="24" priority="11" stopIfTrue="1">
      <formula>$D21="Done"</formula>
    </cfRule>
    <cfRule type="expression" dxfId="23" priority="12" stopIfTrue="1">
      <formula>$D21="Ongoing"</formula>
    </cfRule>
  </conditionalFormatting>
  <conditionalFormatting sqref="P18">
    <cfRule type="expression" dxfId="22" priority="13" stopIfTrue="1">
      <formula>$D16="Done"</formula>
    </cfRule>
    <cfRule type="expression" dxfId="21" priority="14" stopIfTrue="1">
      <formula>$D16="Ongoing"</formula>
    </cfRule>
  </conditionalFormatting>
  <conditionalFormatting sqref="P20">
    <cfRule type="expression" dxfId="20" priority="7" stopIfTrue="1">
      <formula>$D20="Done"</formula>
    </cfRule>
    <cfRule type="expression" dxfId="19" priority="8" stopIfTrue="1">
      <formula>$D20="Ongoing"</formula>
    </cfRule>
  </conditionalFormatting>
  <conditionalFormatting sqref="P19">
    <cfRule type="expression" dxfId="18" priority="9" stopIfTrue="1">
      <formula>$D17="Done"</formula>
    </cfRule>
    <cfRule type="expression" dxfId="17" priority="10" stopIfTrue="1">
      <formula>$D17="Ongoing"</formula>
    </cfRule>
  </conditionalFormatting>
  <conditionalFormatting sqref="A15 A18">
    <cfRule type="expression" dxfId="16" priority="1" stopIfTrue="1">
      <formula>$C15="Done"</formula>
    </cfRule>
    <cfRule type="expression" dxfId="15" priority="2" stopIfTrue="1">
      <formula>$C15="Ongoing"</formula>
    </cfRule>
    <cfRule type="expression" dxfId="14" priority="3" stopIfTrue="1">
      <formula>$C15="Removed"</formula>
    </cfRule>
  </conditionalFormatting>
  <conditionalFormatting sqref="A16">
    <cfRule type="expression" dxfId="13" priority="4" stopIfTrue="1">
      <formula>$C17="Done"</formula>
    </cfRule>
    <cfRule type="expression" dxfId="12" priority="5" stopIfTrue="1">
      <formula>$C17="Ongoing"</formula>
    </cfRule>
    <cfRule type="expression" dxfId="11" priority="6" stopIfTrue="1">
      <formula>$C17="Removed"</formula>
    </cfRule>
  </conditionalFormatting>
  <conditionalFormatting sqref="F20:G20">
    <cfRule type="expression" dxfId="10" priority="99" stopIfTrue="1">
      <formula>#REF!="Done"</formula>
    </cfRule>
    <cfRule type="expression" dxfId="9" priority="100" stopIfTrue="1">
      <formula>#REF!="Ongoing"</formula>
    </cfRule>
  </conditionalFormatting>
  <conditionalFormatting sqref="E19">
    <cfRule type="expression" dxfId="8" priority="103" stopIfTrue="1">
      <formula>$D23="Done"</formula>
    </cfRule>
    <cfRule type="expression" dxfId="7" priority="104" stopIfTrue="1">
      <formula>$D23="Ongoing"</formula>
    </cfRule>
  </conditionalFormatting>
  <dataValidations count="1">
    <dataValidation type="list" allowBlank="1" showInputMessage="1" sqref="D3:D8 D15:D63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SortSprintTasks">
                <anchor moveWithCells="1" sizeWithCells="1">
                  <from>
                    <xdr:col>0</xdr:col>
                    <xdr:colOff>238125</xdr:colOff>
                    <xdr:row>5</xdr:row>
                    <xdr:rowOff>85725</xdr:rowOff>
                  </from>
                  <to>
                    <xdr:col>0</xdr:col>
                    <xdr:colOff>2009775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UpdateTaskSlips">
                <anchor moveWithCells="1" sizeWithCells="1">
                  <from>
                    <xdr:col>0</xdr:col>
                    <xdr:colOff>2257425</xdr:colOff>
                    <xdr:row>5</xdr:row>
                    <xdr:rowOff>85725</xdr:rowOff>
                  </from>
                  <to>
                    <xdr:col>2</xdr:col>
                    <xdr:colOff>295275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5"/>
  </sheetPr>
  <dimension ref="A1:D24"/>
  <sheetViews>
    <sheetView workbookViewId="0">
      <selection activeCell="D3" sqref="D3"/>
    </sheetView>
  </sheetViews>
  <sheetFormatPr baseColWidth="10" defaultRowHeight="12.75" x14ac:dyDescent="0.2"/>
  <cols>
    <col min="1" max="1" width="23" bestFit="1" customWidth="1"/>
  </cols>
  <sheetData>
    <row r="1" spans="1:4" ht="18" x14ac:dyDescent="0.25">
      <c r="A1" s="130" t="s">
        <v>190</v>
      </c>
      <c r="B1" s="130"/>
      <c r="C1" s="130"/>
      <c r="D1" s="130"/>
    </row>
    <row r="2" spans="1:4" x14ac:dyDescent="0.2">
      <c r="A2" s="123"/>
      <c r="B2" s="124" t="s">
        <v>186</v>
      </c>
      <c r="C2" s="124" t="s">
        <v>187</v>
      </c>
      <c r="D2" s="124" t="s">
        <v>188</v>
      </c>
    </row>
    <row r="3" spans="1:4" x14ac:dyDescent="0.2">
      <c r="A3" s="125" t="s">
        <v>189</v>
      </c>
      <c r="B3" s="123">
        <v>11</v>
      </c>
      <c r="C3" s="123">
        <v>13</v>
      </c>
      <c r="D3" s="123">
        <v>9</v>
      </c>
    </row>
    <row r="24" spans="1:4" ht="18" x14ac:dyDescent="0.25">
      <c r="A24" s="131"/>
      <c r="B24" s="131"/>
      <c r="C24" s="131"/>
      <c r="D24" s="131"/>
    </row>
  </sheetData>
  <mergeCells count="2">
    <mergeCell ref="A1:D1"/>
    <mergeCell ref="A24:D24"/>
  </mergeCell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/>
  </sheetPr>
  <dimension ref="A1:Z51"/>
  <sheetViews>
    <sheetView topLeftCell="A20" workbookViewId="0">
      <selection activeCell="E28" sqref="E28"/>
    </sheetView>
  </sheetViews>
  <sheetFormatPr baseColWidth="10" defaultColWidth="11.42578125" defaultRowHeight="12.75" x14ac:dyDescent="0.2"/>
  <cols>
    <col min="1" max="1" width="11.85546875" customWidth="1"/>
    <col min="2" max="4" width="9.140625" customWidth="1"/>
    <col min="5" max="5" width="14.42578125" customWidth="1"/>
    <col min="6" max="6" width="15.7109375" hidden="1" customWidth="1"/>
    <col min="7" max="8" width="5.5703125" hidden="1" customWidth="1"/>
    <col min="9" max="9" width="7.28515625" hidden="1" customWidth="1"/>
    <col min="10" max="10" width="4.28515625" hidden="1" customWidth="1"/>
    <col min="11" max="13" width="6.85546875" hidden="1" customWidth="1"/>
    <col min="14" max="16" width="9.140625" hidden="1" customWidth="1"/>
    <col min="17" max="17" width="10.5703125" hidden="1" customWidth="1"/>
  </cols>
  <sheetData>
    <row r="1" spans="1:26" ht="18" x14ac:dyDescent="0.2">
      <c r="A1" s="50" t="s">
        <v>32</v>
      </c>
    </row>
    <row r="3" spans="1:26" x14ac:dyDescent="0.2">
      <c r="A3" t="s">
        <v>36</v>
      </c>
      <c r="D3">
        <v>156</v>
      </c>
      <c r="F3" t="s">
        <v>38</v>
      </c>
      <c r="G3" s="51">
        <f>IF(COUNT(B28:B39)=0,1,COUNT(B28:B39))</f>
        <v>4</v>
      </c>
    </row>
    <row r="4" spans="1:26" ht="19.5" customHeight="1" x14ac:dyDescent="0.2">
      <c r="A4" t="s">
        <v>39</v>
      </c>
      <c r="F4" t="s">
        <v>56</v>
      </c>
      <c r="G4" s="51">
        <f>IF(COUNT(D28:D51)=0,1,COUNT(D28:D51)+1)</f>
        <v>4</v>
      </c>
    </row>
    <row r="5" spans="1:26" x14ac:dyDescent="0.2">
      <c r="F5" t="s">
        <v>40</v>
      </c>
      <c r="G5" s="51">
        <f>IF(G4&gt;D4,G4-D4,0)</f>
        <v>4</v>
      </c>
      <c r="Z5" s="36" t="s">
        <v>73</v>
      </c>
    </row>
    <row r="6" spans="1:26" x14ac:dyDescent="0.2">
      <c r="A6" s="1" t="s">
        <v>70</v>
      </c>
      <c r="F6" t="s">
        <v>41</v>
      </c>
      <c r="G6" s="51">
        <f>TrendSprintCount-TrendOffset</f>
        <v>0</v>
      </c>
      <c r="Z6" s="36" t="s">
        <v>74</v>
      </c>
    </row>
    <row r="7" spans="1:26" x14ac:dyDescent="0.2">
      <c r="A7" t="s">
        <v>44</v>
      </c>
      <c r="D7">
        <v>11</v>
      </c>
      <c r="Z7" s="36" t="s">
        <v>77</v>
      </c>
    </row>
    <row r="8" spans="1:26" x14ac:dyDescent="0.2">
      <c r="A8" s="132">
        <f>D$4</f>
        <v>0</v>
      </c>
      <c r="B8" s="132"/>
      <c r="D8" s="54">
        <v>9</v>
      </c>
      <c r="Z8" s="36" t="s">
        <v>78</v>
      </c>
    </row>
    <row r="9" spans="1:26" x14ac:dyDescent="0.2">
      <c r="A9" t="s">
        <v>57</v>
      </c>
      <c r="D9" s="54">
        <v>11</v>
      </c>
      <c r="F9" t="s">
        <v>49</v>
      </c>
      <c r="G9" s="51" t="e">
        <f ca="1">IF(M28="",1,COUNT(M28:M110))</f>
        <v>#REF!</v>
      </c>
      <c r="Z9" s="36" t="s">
        <v>79</v>
      </c>
    </row>
    <row r="10" spans="1:26" x14ac:dyDescent="0.2">
      <c r="D10" s="54"/>
      <c r="Z10" s="36" t="s">
        <v>75</v>
      </c>
    </row>
    <row r="11" spans="1:26" x14ac:dyDescent="0.2">
      <c r="D11" s="54"/>
      <c r="Z11" s="36" t="s">
        <v>76</v>
      </c>
    </row>
    <row r="12" spans="1:26" x14ac:dyDescent="0.2">
      <c r="D12" s="54"/>
      <c r="Z12" s="36" t="s">
        <v>80</v>
      </c>
    </row>
    <row r="13" spans="1:26" x14ac:dyDescent="0.2">
      <c r="F13" s="52" t="s">
        <v>50</v>
      </c>
      <c r="Z13" s="36" t="s">
        <v>81</v>
      </c>
    </row>
    <row r="14" spans="1:26" x14ac:dyDescent="0.2">
      <c r="A14" s="1" t="s">
        <v>51</v>
      </c>
    </row>
    <row r="15" spans="1:26" x14ac:dyDescent="0.2">
      <c r="A15" t="s">
        <v>52</v>
      </c>
      <c r="D15" s="55">
        <f>IF(D7="",0,ROUNDUP(D3/D7*0.6,0))</f>
        <v>9</v>
      </c>
    </row>
    <row r="16" spans="1:26" x14ac:dyDescent="0.2">
      <c r="A16" t="s">
        <v>54</v>
      </c>
      <c r="D16" s="55">
        <f>IF(D7="",0,ROUNDUP(D3/D7,0))</f>
        <v>15</v>
      </c>
    </row>
    <row r="17" spans="1:17" x14ac:dyDescent="0.2">
      <c r="A17" t="s">
        <v>53</v>
      </c>
      <c r="D17" s="55">
        <f>IF(D7="",0,ROUNDUP(D3/D7*1.6,0))</f>
        <v>23</v>
      </c>
      <c r="F17" t="s">
        <v>58</v>
      </c>
      <c r="G17">
        <f>IF(OR(D28="",D29=""),1,STDEV(D28:D51))</f>
        <v>2</v>
      </c>
    </row>
    <row r="18" spans="1:17" x14ac:dyDescent="0.2">
      <c r="A18" s="132">
        <f>D$4</f>
        <v>0</v>
      </c>
      <c r="B18" s="132"/>
      <c r="D18" s="55">
        <f ca="1">IF(D8="","",IF(LastRealized="",ROUNDUP(LastPlanned/D8,0)+SprintCount-1,ROUNDUP((LastPlanned-LastRealized)/D8+SprintCount,0)))</f>
        <v>17</v>
      </c>
    </row>
    <row r="19" spans="1:17" x14ac:dyDescent="0.2">
      <c r="A19" t="s">
        <v>45</v>
      </c>
      <c r="D19" s="55">
        <f ca="1">IF(D9="","",IF(LastRealized="",ROUNDUP(LastPlanned/D9+SprintCount-1,0),ROUNDUP((LastPlanned-LastRealized)/D9,0)+SprintCount))</f>
        <v>15</v>
      </c>
      <c r="F19" t="s">
        <v>61</v>
      </c>
      <c r="G19">
        <f ca="1">LastPlanned</f>
        <v>123</v>
      </c>
    </row>
    <row r="20" spans="1:17" x14ac:dyDescent="0.2">
      <c r="A20" t="s">
        <v>46</v>
      </c>
      <c r="D20" s="55" t="str">
        <f>IF(D10="","",IF(LastRealized="",ROUNDUP(LastPlanned/D10+SprintCount-1,0),ROUNDUP((LastPlanned-LastRealized)/D10,0)+SprintCount))</f>
        <v/>
      </c>
      <c r="F20" t="s">
        <v>62</v>
      </c>
      <c r="G20">
        <f ca="1">LastRealized</f>
        <v>0</v>
      </c>
    </row>
    <row r="21" spans="1:17" x14ac:dyDescent="0.2">
      <c r="A21" t="s">
        <v>47</v>
      </c>
      <c r="D21" s="55" t="str">
        <f>IF(D11="","",IF(LastRealized="",ROUNDUP(LastPlanned/D11+SprintCount-1,0),ROUNDUP((LastPlanned-LastRealized)/D11,0)+SprintCount))</f>
        <v/>
      </c>
    </row>
    <row r="22" spans="1:17" x14ac:dyDescent="0.2">
      <c r="A22" t="s">
        <v>24</v>
      </c>
      <c r="D22" s="55" t="str">
        <f ca="1">IF(COUNT(M28:M51)-1&gt;0,COUNT(M28:M51)-1,"")</f>
        <v/>
      </c>
    </row>
    <row r="23" spans="1:17" x14ac:dyDescent="0.2">
      <c r="A23" t="s">
        <v>59</v>
      </c>
      <c r="D23" s="55">
        <f ca="1">IF(D9="","",IF(LastRealized="",ROUNDUP(LastPlanned/(D9+G17)+SprintCount-1,0),ROUNDUP((LastPlanned-LastRealized)/(D9+G17)+SprintCount,0)))</f>
        <v>13</v>
      </c>
    </row>
    <row r="24" spans="1:17" x14ac:dyDescent="0.2">
      <c r="A24" t="s">
        <v>60</v>
      </c>
      <c r="D24" s="55">
        <f ca="1">IF(D9="","",IF(LastRealized="",ROUNDUP(LastPlanned/(D9-G17)+SprintCount-1,0),ROUNDUP((LastPlanned-LastRealized)/(D9-G17)+SprintCount,0)))</f>
        <v>17</v>
      </c>
    </row>
    <row r="26" spans="1:17" ht="12.75" customHeight="1" x14ac:dyDescent="0.2">
      <c r="F26" s="134" t="s">
        <v>24</v>
      </c>
      <c r="G26" s="134"/>
      <c r="H26" s="134"/>
      <c r="I26" s="134"/>
      <c r="J26" s="134"/>
      <c r="K26" s="134"/>
      <c r="L26" s="134"/>
      <c r="M26" s="134"/>
      <c r="N26" s="134"/>
      <c r="O26" s="134" t="s">
        <v>67</v>
      </c>
      <c r="P26" s="134"/>
      <c r="Q26" s="134"/>
    </row>
    <row r="27" spans="1:17" s="3" customFormat="1" ht="26.25" thickBot="1" x14ac:dyDescent="0.25">
      <c r="A27" s="56" t="s">
        <v>13</v>
      </c>
      <c r="B27" s="57" t="s">
        <v>63</v>
      </c>
      <c r="C27" s="57" t="s">
        <v>64</v>
      </c>
      <c r="D27" s="58" t="s">
        <v>65</v>
      </c>
      <c r="E27" s="58" t="s">
        <v>66</v>
      </c>
      <c r="F27" s="59" t="s">
        <v>34</v>
      </c>
      <c r="G27" s="133" t="s">
        <v>37</v>
      </c>
      <c r="H27" s="133"/>
      <c r="I27" s="59" t="s">
        <v>35</v>
      </c>
      <c r="J27" s="60"/>
      <c r="K27" s="59" t="s">
        <v>55</v>
      </c>
      <c r="L27" s="59" t="s">
        <v>48</v>
      </c>
      <c r="M27" s="59" t="s">
        <v>43</v>
      </c>
      <c r="N27" s="61" t="s">
        <v>42</v>
      </c>
      <c r="O27" s="59" t="s">
        <v>33</v>
      </c>
      <c r="P27" s="59" t="s">
        <v>68</v>
      </c>
      <c r="Q27" s="59" t="s">
        <v>69</v>
      </c>
    </row>
    <row r="28" spans="1:17" x14ac:dyDescent="0.2">
      <c r="A28" s="53">
        <v>1</v>
      </c>
      <c r="B28" s="2">
        <v>156</v>
      </c>
      <c r="C28" s="2">
        <v>11</v>
      </c>
      <c r="D28" s="2">
        <v>11</v>
      </c>
      <c r="E28" s="53">
        <f>B28</f>
        <v>156</v>
      </c>
      <c r="F28" s="51">
        <f>B28</f>
        <v>156</v>
      </c>
      <c r="G28" s="51">
        <f t="shared" ref="G28:G51" si="0">F28</f>
        <v>156</v>
      </c>
      <c r="H28" s="51">
        <f t="shared" ref="H28:H33" si="1">I28</f>
        <v>0</v>
      </c>
      <c r="I28" s="51">
        <v>0</v>
      </c>
      <c r="K28">
        <f t="shared" ref="K28:K33" si="2">IF(F28&lt;I28,I28,F28)</f>
        <v>156</v>
      </c>
      <c r="L28" s="51" t="e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#REF!</v>
      </c>
      <c r="M28" s="51" t="e">
        <f ca="1">L28</f>
        <v>#REF!</v>
      </c>
      <c r="N28" s="51">
        <f t="shared" ref="N28:N51" ca="1" si="4">OFFSET($I$27,TrendSprintCount,0,1,1)</f>
        <v>0</v>
      </c>
      <c r="O28" s="62">
        <f t="shared" ref="O28:O51" si="5">D$9</f>
        <v>11</v>
      </c>
      <c r="P28" s="62">
        <f t="shared" ref="P28:P51" si="6">D$10</f>
        <v>0</v>
      </c>
      <c r="Q28" s="62">
        <f t="shared" ref="Q28:Q51" si="7">D$11</f>
        <v>0</v>
      </c>
    </row>
    <row r="29" spans="1:17" x14ac:dyDescent="0.2">
      <c r="A29" s="53">
        <v>2</v>
      </c>
      <c r="B29" s="2">
        <f>B28-D28</f>
        <v>145</v>
      </c>
      <c r="C29" s="2">
        <v>13</v>
      </c>
      <c r="D29" s="2">
        <v>13</v>
      </c>
      <c r="E29" s="53">
        <f>IF(B29="","",IF(D28="",E28,B29+SUM(D$28:D28)))</f>
        <v>156</v>
      </c>
      <c r="F29" s="51">
        <f t="shared" ref="F29:F34" si="8">IF(B29="",IF(B28="","",IF(D28="","",I28)),IF(AND(D28="",C28=""),"",IF(AND(D28="",C28&lt;&gt;""),IF(I28&gt;F28,F28,I28),F28-D28)))</f>
        <v>145</v>
      </c>
      <c r="G29" s="51">
        <f t="shared" si="0"/>
        <v>145</v>
      </c>
      <c r="H29" s="51">
        <f t="shared" si="1"/>
        <v>0</v>
      </c>
      <c r="I29" s="51">
        <f>IF(B29="",IF(B28="","",IF(D28="","",F28-D28)),IF(AND(C28="",D28=""),"",IF(AND(D28="",C28&lt;&gt;""),IF(I28&gt;F28,I28-C28,F28-C28),B$28-B29-SUM(D$28:D28))))</f>
        <v>0</v>
      </c>
      <c r="K29">
        <f t="shared" si="2"/>
        <v>145</v>
      </c>
      <c r="L29" s="51" t="e">
        <f t="shared" ca="1" si="3"/>
        <v>#REF!</v>
      </c>
      <c r="M29" s="51" t="e">
        <f ca="1">IF(L29=L28,"",L29)</f>
        <v>#REF!</v>
      </c>
      <c r="N29" s="51">
        <f t="shared" ca="1" si="4"/>
        <v>0</v>
      </c>
      <c r="O29" s="62">
        <f t="shared" si="5"/>
        <v>11</v>
      </c>
      <c r="P29" s="62">
        <f t="shared" si="6"/>
        <v>0</v>
      </c>
      <c r="Q29" s="62">
        <f t="shared" si="7"/>
        <v>0</v>
      </c>
    </row>
    <row r="30" spans="1:17" x14ac:dyDescent="0.2">
      <c r="A30" s="53">
        <v>3</v>
      </c>
      <c r="B30" s="2">
        <f t="shared" ref="B30:B51" si="9">IF(OR(B29="",C29=""),"",IF(D29="",IF(B29-C29&lt;=0,"",B29-C29),IF(B29-D29&lt;=0,"",B29-D29)))</f>
        <v>132</v>
      </c>
      <c r="C30" s="2">
        <v>14</v>
      </c>
      <c r="D30" s="2">
        <v>9</v>
      </c>
      <c r="E30" s="53">
        <f>IF(B30="","",IF(D29="",E29,B30+SUM(D$28:D29)))</f>
        <v>156</v>
      </c>
      <c r="F30" s="51">
        <f t="shared" si="8"/>
        <v>132</v>
      </c>
      <c r="G30" s="51">
        <f t="shared" si="0"/>
        <v>132</v>
      </c>
      <c r="H30" s="51">
        <f t="shared" si="1"/>
        <v>0</v>
      </c>
      <c r="I30" s="51">
        <f>IF(B30="",IF(B29="","",IF(D29="","",F29-D29)),IF(AND(C29="",D29=""),"",IF(AND(D29="",C29&lt;&gt;""),IF(I29&gt;F29,I29-C29,F29-C29),B$28-B30-SUM(D$28:D29))))</f>
        <v>0</v>
      </c>
      <c r="K30">
        <f t="shared" si="2"/>
        <v>132</v>
      </c>
      <c r="L30" s="51" t="e">
        <f t="shared" ca="1" si="3"/>
        <v>#REF!</v>
      </c>
      <c r="M30" s="51" t="e">
        <f t="shared" ref="M30:M51" ca="1" si="10">IF(L30=L29,"",L30)</f>
        <v>#REF!</v>
      </c>
      <c r="N30" s="51">
        <f t="shared" ca="1" si="4"/>
        <v>0</v>
      </c>
      <c r="O30" s="62">
        <f t="shared" si="5"/>
        <v>11</v>
      </c>
      <c r="P30" s="62">
        <f t="shared" si="6"/>
        <v>0</v>
      </c>
      <c r="Q30" s="62">
        <f t="shared" si="7"/>
        <v>0</v>
      </c>
    </row>
    <row r="31" spans="1:17" x14ac:dyDescent="0.2">
      <c r="A31" s="53">
        <v>4</v>
      </c>
      <c r="B31" s="2">
        <f t="shared" si="9"/>
        <v>123</v>
      </c>
      <c r="C31" s="2"/>
      <c r="D31" s="2"/>
      <c r="E31" s="53">
        <f>IF(B31="","",IF(D30="",E30,B31+SUM(D$28:D30)))</f>
        <v>156</v>
      </c>
      <c r="F31" s="51">
        <f t="shared" si="8"/>
        <v>123</v>
      </c>
      <c r="G31" s="51">
        <f t="shared" si="0"/>
        <v>123</v>
      </c>
      <c r="H31" s="51">
        <f t="shared" si="1"/>
        <v>0</v>
      </c>
      <c r="I31" s="51">
        <f>IF(B31="",IF(B30="","",IF(D30="","",F30-D30)),IF(AND(C30="",D30=""),"",IF(AND(D30="",C30&lt;&gt;""),IF(I30&gt;F30,I30-C30,F30-C30),B$28-B31-SUM(D$28:D30))))</f>
        <v>0</v>
      </c>
      <c r="K31">
        <f t="shared" si="2"/>
        <v>123</v>
      </c>
      <c r="L31" s="51" t="e">
        <f t="shared" ca="1" si="3"/>
        <v>#REF!</v>
      </c>
      <c r="M31" s="51" t="e">
        <f t="shared" ca="1" si="10"/>
        <v>#REF!</v>
      </c>
      <c r="N31" s="51">
        <f t="shared" ca="1" si="4"/>
        <v>0</v>
      </c>
      <c r="O31" s="62">
        <f t="shared" si="5"/>
        <v>11</v>
      </c>
      <c r="P31" s="62">
        <f t="shared" si="6"/>
        <v>0</v>
      </c>
      <c r="Q31" s="62">
        <f t="shared" si="7"/>
        <v>0</v>
      </c>
    </row>
    <row r="32" spans="1:17" x14ac:dyDescent="0.2">
      <c r="A32" s="53">
        <v>5</v>
      </c>
      <c r="B32" s="2" t="str">
        <f>IF(OR(B31="",C31=""),"",IF(D31="",IF(B31-C31&lt;=0,"",B31-C31),IF(B31-D31&lt;=0,"",B31-D31)))</f>
        <v/>
      </c>
      <c r="C32" s="2"/>
      <c r="D32" s="2"/>
      <c r="E32" s="53" t="str">
        <f>IF(B32="","",IF(D31="",E31,B32+SUM(D$28:D31)))</f>
        <v/>
      </c>
      <c r="F32" s="51" t="str">
        <f t="shared" si="8"/>
        <v/>
      </c>
      <c r="G32" s="51" t="str">
        <f t="shared" si="0"/>
        <v/>
      </c>
      <c r="H32" s="51" t="str">
        <f t="shared" si="1"/>
        <v/>
      </c>
      <c r="I32" s="51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51" t="e">
        <f t="shared" ca="1" si="3"/>
        <v>#REF!</v>
      </c>
      <c r="M32" s="51" t="e">
        <f t="shared" ca="1" si="10"/>
        <v>#REF!</v>
      </c>
      <c r="N32" s="51">
        <f t="shared" ca="1" si="4"/>
        <v>0</v>
      </c>
      <c r="O32" s="62">
        <f t="shared" si="5"/>
        <v>11</v>
      </c>
      <c r="P32" s="62">
        <f t="shared" si="6"/>
        <v>0</v>
      </c>
      <c r="Q32" s="62">
        <f t="shared" si="7"/>
        <v>0</v>
      </c>
    </row>
    <row r="33" spans="1:17" x14ac:dyDescent="0.2">
      <c r="A33" s="53">
        <v>6</v>
      </c>
      <c r="B33" s="2" t="str">
        <f>IF(OR(B32="",C32=""),"",IF(D32="",IF(B32-C32&lt;=0,"",B32-C32),IF(B32-D32&lt;=0,"",B32-D32)))</f>
        <v/>
      </c>
      <c r="C33" s="2"/>
      <c r="D33" s="2"/>
      <c r="E33" s="53" t="str">
        <f>IF(B33="","",IF(D32="",E32,B33+SUM(D$28:D32)))</f>
        <v/>
      </c>
      <c r="F33" s="51" t="str">
        <f t="shared" si="8"/>
        <v/>
      </c>
      <c r="G33" s="51" t="str">
        <f t="shared" si="0"/>
        <v/>
      </c>
      <c r="H33" s="51" t="str">
        <f t="shared" si="1"/>
        <v/>
      </c>
      <c r="I33" s="51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51" t="e">
        <f t="shared" ca="1" si="3"/>
        <v>#REF!</v>
      </c>
      <c r="M33" s="51" t="e">
        <f t="shared" ca="1" si="10"/>
        <v>#REF!</v>
      </c>
      <c r="N33" s="51">
        <f t="shared" ca="1" si="4"/>
        <v>0</v>
      </c>
      <c r="O33" s="62">
        <f t="shared" si="5"/>
        <v>11</v>
      </c>
      <c r="P33" s="62">
        <f t="shared" si="6"/>
        <v>0</v>
      </c>
      <c r="Q33" s="62">
        <f t="shared" si="7"/>
        <v>0</v>
      </c>
    </row>
    <row r="34" spans="1:17" x14ac:dyDescent="0.2">
      <c r="A34" s="53">
        <v>7</v>
      </c>
      <c r="B34" s="2" t="str">
        <f>IF(OR(B33="",C33=""),"",IF(D33="",IF(B33-C33&lt;=0,"",B33-C33),IF(B33-D33&lt;=0,"",B33-D33)))</f>
        <v/>
      </c>
      <c r="C34" s="2"/>
      <c r="D34" s="2"/>
      <c r="E34" s="53" t="str">
        <f>IF(B34="","",IF(D33="",E33,B34+SUM(D$28:D33)))</f>
        <v/>
      </c>
      <c r="F34" s="51" t="str">
        <f t="shared" si="8"/>
        <v/>
      </c>
      <c r="G34" s="51" t="str">
        <f t="shared" si="0"/>
        <v/>
      </c>
      <c r="H34" s="51" t="str">
        <f t="shared" ref="H34:H51" si="11">I34</f>
        <v/>
      </c>
      <c r="I34" s="51" t="str">
        <f>IF(B34="",IF(B33="","",IF(D33="","",F33-D33)),IF(AND(C33="",D33=""),"",IF(AND(D33="",C33&lt;&gt;""),IF(I33&gt;F33,I33-C33,F33-C33),B$28-B34-SUM(D$28:D33))))</f>
        <v/>
      </c>
      <c r="K34" t="str">
        <f t="shared" ref="K34:K51" si="12">IF(F34&lt;I34,I34,F34)</f>
        <v/>
      </c>
      <c r="L34" s="51" t="e">
        <f t="shared" ca="1" si="3"/>
        <v>#REF!</v>
      </c>
      <c r="M34" s="51" t="e">
        <f t="shared" ca="1" si="10"/>
        <v>#REF!</v>
      </c>
      <c r="N34" s="51">
        <f t="shared" ca="1" si="4"/>
        <v>0</v>
      </c>
      <c r="O34" s="62">
        <f t="shared" si="5"/>
        <v>11</v>
      </c>
      <c r="P34" s="62">
        <f t="shared" si="6"/>
        <v>0</v>
      </c>
      <c r="Q34" s="62">
        <f t="shared" si="7"/>
        <v>0</v>
      </c>
    </row>
    <row r="35" spans="1:17" x14ac:dyDescent="0.2">
      <c r="A35" s="53">
        <v>8</v>
      </c>
      <c r="B35" s="2" t="str">
        <f t="shared" si="9"/>
        <v/>
      </c>
      <c r="C35" s="2"/>
      <c r="D35" s="2"/>
      <c r="E35" s="53" t="str">
        <f>IF(B35="","",IF(D34="",E34,B35+SUM(D$28:D34)))</f>
        <v/>
      </c>
      <c r="F35" s="51" t="str">
        <f t="shared" ref="F35:F51" si="13">IF(B35="",IF(B34="","",IF(D34="","",I34)),IF(AND(D34="",C34=""),"",IF(AND(D34="",C34&lt;&gt;""),IF(I34&gt;F34,F34,I34),F34-D34)))</f>
        <v/>
      </c>
      <c r="G35" s="51" t="str">
        <f t="shared" si="0"/>
        <v/>
      </c>
      <c r="H35" s="51" t="str">
        <f t="shared" si="11"/>
        <v/>
      </c>
      <c r="I35" s="51" t="str">
        <f>IF(B35="",IF(B34="","",IF(D34="","",F34-D34)),IF(AND(C34="",D34=""),"",IF(AND(D34="",C34&lt;&gt;""),IF(I34&gt;F34,I34-C34,F34-C34),B$28-B35-SUM(D$28:D34))))</f>
        <v/>
      </c>
      <c r="K35" t="str">
        <f t="shared" si="12"/>
        <v/>
      </c>
      <c r="L35" s="51" t="e">
        <f t="shared" ca="1" si="3"/>
        <v>#REF!</v>
      </c>
      <c r="M35" s="51" t="e">
        <f t="shared" ca="1" si="10"/>
        <v>#REF!</v>
      </c>
      <c r="N35" s="51">
        <f t="shared" ca="1" si="4"/>
        <v>0</v>
      </c>
      <c r="O35" s="62">
        <f t="shared" si="5"/>
        <v>11</v>
      </c>
      <c r="P35" s="62">
        <f t="shared" si="6"/>
        <v>0</v>
      </c>
      <c r="Q35" s="62">
        <f t="shared" si="7"/>
        <v>0</v>
      </c>
    </row>
    <row r="36" spans="1:17" x14ac:dyDescent="0.2">
      <c r="A36" s="53">
        <v>9</v>
      </c>
      <c r="B36" s="2" t="str">
        <f t="shared" si="9"/>
        <v/>
      </c>
      <c r="C36" s="2"/>
      <c r="D36" s="2"/>
      <c r="E36" s="53" t="str">
        <f>IF(B36="","",IF(D35="",E35,B36+SUM(D$28:D35)))</f>
        <v/>
      </c>
      <c r="F36" s="51" t="str">
        <f t="shared" si="13"/>
        <v/>
      </c>
      <c r="G36" s="51" t="str">
        <f t="shared" si="0"/>
        <v/>
      </c>
      <c r="H36" s="51" t="str">
        <f t="shared" si="11"/>
        <v/>
      </c>
      <c r="I36" s="51" t="str">
        <f>IF(B36="",IF(B35="","",IF(D35="","",F35-D35)),IF(AND(C35="",D35=""),"",IF(AND(D35="",C35&lt;&gt;""),IF(I35&gt;F35,I35-C35,F35-C35),B$28-B36-SUM(D$28:D35))))</f>
        <v/>
      </c>
      <c r="K36" t="str">
        <f t="shared" si="12"/>
        <v/>
      </c>
      <c r="L36" s="51" t="e">
        <f t="shared" ca="1" si="3"/>
        <v>#REF!</v>
      </c>
      <c r="M36" s="51" t="e">
        <f t="shared" ca="1" si="10"/>
        <v>#REF!</v>
      </c>
      <c r="N36" s="51">
        <f t="shared" ca="1" si="4"/>
        <v>0</v>
      </c>
      <c r="O36" s="62">
        <f t="shared" si="5"/>
        <v>11</v>
      </c>
      <c r="P36" s="62">
        <f t="shared" si="6"/>
        <v>0</v>
      </c>
      <c r="Q36" s="62">
        <f t="shared" si="7"/>
        <v>0</v>
      </c>
    </row>
    <row r="37" spans="1:17" x14ac:dyDescent="0.2">
      <c r="A37" s="53">
        <v>10</v>
      </c>
      <c r="B37" s="2" t="str">
        <f t="shared" si="9"/>
        <v/>
      </c>
      <c r="C37" s="2"/>
      <c r="D37" s="2"/>
      <c r="E37" s="53" t="str">
        <f>IF(B37="","",IF(D36="",E36,B37+SUM(D$28:D36)))</f>
        <v/>
      </c>
      <c r="F37" s="51" t="str">
        <f t="shared" si="13"/>
        <v/>
      </c>
      <c r="G37" s="51" t="str">
        <f t="shared" si="0"/>
        <v/>
      </c>
      <c r="H37" s="51" t="str">
        <f t="shared" si="11"/>
        <v/>
      </c>
      <c r="I37" s="51" t="str">
        <f>IF(B37="",IF(B36="","",IF(D36="","",F36-D36)),IF(AND(C36="",D36=""),"",IF(AND(D36="",C36&lt;&gt;""),IF(I36&gt;F36,I36-C36,F36-C36),B$28-B37-SUM(D$28:D36))))</f>
        <v/>
      </c>
      <c r="K37" t="str">
        <f t="shared" si="12"/>
        <v/>
      </c>
      <c r="L37" s="51" t="e">
        <f t="shared" ca="1" si="3"/>
        <v>#REF!</v>
      </c>
      <c r="M37" s="51" t="e">
        <f t="shared" ca="1" si="10"/>
        <v>#REF!</v>
      </c>
      <c r="N37" s="51">
        <f t="shared" ca="1" si="4"/>
        <v>0</v>
      </c>
      <c r="O37" s="62">
        <f t="shared" si="5"/>
        <v>11</v>
      </c>
      <c r="P37" s="62">
        <f t="shared" si="6"/>
        <v>0</v>
      </c>
      <c r="Q37" s="62">
        <f t="shared" si="7"/>
        <v>0</v>
      </c>
    </row>
    <row r="38" spans="1:17" x14ac:dyDescent="0.2">
      <c r="A38" s="53">
        <v>11</v>
      </c>
      <c r="B38" s="2" t="str">
        <f t="shared" si="9"/>
        <v/>
      </c>
      <c r="C38" s="2"/>
      <c r="D38" s="2"/>
      <c r="E38" s="53" t="str">
        <f>IF(B38="","",IF(D37="",E37,B38+SUM(D$28:D37)))</f>
        <v/>
      </c>
      <c r="F38" s="51" t="str">
        <f t="shared" si="13"/>
        <v/>
      </c>
      <c r="G38" s="51" t="str">
        <f t="shared" si="0"/>
        <v/>
      </c>
      <c r="H38" s="51" t="str">
        <f t="shared" si="11"/>
        <v/>
      </c>
      <c r="I38" s="51" t="str">
        <f>IF(B38="",IF(B37="","",IF(D37="","",F37-D37)),IF(AND(C37="",D37=""),"",IF(AND(D37="",C37&lt;&gt;""),IF(I37&gt;F37,I37-C37,F37-C37),B$28-B38-SUM(D$28:D37))))</f>
        <v/>
      </c>
      <c r="K38" t="str">
        <f t="shared" si="12"/>
        <v/>
      </c>
      <c r="L38" s="51" t="e">
        <f t="shared" ca="1" si="3"/>
        <v>#REF!</v>
      </c>
      <c r="M38" s="51" t="e">
        <f t="shared" ca="1" si="10"/>
        <v>#REF!</v>
      </c>
      <c r="N38" s="51">
        <f t="shared" ca="1" si="4"/>
        <v>0</v>
      </c>
      <c r="O38" s="62">
        <f t="shared" si="5"/>
        <v>11</v>
      </c>
      <c r="P38" s="62">
        <f t="shared" si="6"/>
        <v>0</v>
      </c>
      <c r="Q38" s="62">
        <f t="shared" si="7"/>
        <v>0</v>
      </c>
    </row>
    <row r="39" spans="1:17" x14ac:dyDescent="0.2">
      <c r="A39" s="53">
        <v>12</v>
      </c>
      <c r="B39" s="2" t="str">
        <f t="shared" si="9"/>
        <v/>
      </c>
      <c r="C39" s="2"/>
      <c r="D39" s="2"/>
      <c r="E39" s="53" t="str">
        <f>IF(B39="","",IF(D38="",E38,B39+SUM(D$28:D38)))</f>
        <v/>
      </c>
      <c r="F39" s="51" t="str">
        <f t="shared" si="13"/>
        <v/>
      </c>
      <c r="G39" s="51" t="str">
        <f t="shared" si="0"/>
        <v/>
      </c>
      <c r="H39" s="51" t="str">
        <f t="shared" si="11"/>
        <v/>
      </c>
      <c r="I39" s="51" t="str">
        <f>IF(B39="",IF(B38="","",IF(D38="","",F38-D38)),IF(AND(C38="",D38=""),"",IF(AND(D38="",C38&lt;&gt;""),IF(I38&gt;F38,I38-C38,F38-C38),B$28-B39-SUM(D$28:D38))))</f>
        <v/>
      </c>
      <c r="K39" t="str">
        <f t="shared" si="12"/>
        <v/>
      </c>
      <c r="L39" s="51" t="e">
        <f t="shared" ca="1" si="3"/>
        <v>#REF!</v>
      </c>
      <c r="M39" s="51" t="e">
        <f t="shared" ca="1" si="10"/>
        <v>#REF!</v>
      </c>
      <c r="N39" s="51">
        <f t="shared" ca="1" si="4"/>
        <v>0</v>
      </c>
      <c r="O39" s="62">
        <f t="shared" si="5"/>
        <v>11</v>
      </c>
      <c r="P39" s="62">
        <f t="shared" si="6"/>
        <v>0</v>
      </c>
      <c r="Q39" s="62">
        <f t="shared" si="7"/>
        <v>0</v>
      </c>
    </row>
    <row r="40" spans="1:17" x14ac:dyDescent="0.2">
      <c r="A40" s="53">
        <v>13</v>
      </c>
      <c r="B40" s="2" t="str">
        <f t="shared" si="9"/>
        <v/>
      </c>
      <c r="C40" s="2"/>
      <c r="E40" s="53" t="str">
        <f>IF(B40="","",IF(D39="",E39,B40+SUM(D$28:D39)))</f>
        <v/>
      </c>
      <c r="F40" s="51" t="str">
        <f t="shared" si="13"/>
        <v/>
      </c>
      <c r="G40" s="51" t="str">
        <f t="shared" si="0"/>
        <v/>
      </c>
      <c r="H40" s="51" t="str">
        <f t="shared" si="11"/>
        <v/>
      </c>
      <c r="I40" s="51" t="str">
        <f>IF(B40="",IF(B39="","",IF(D39="","",F39-D39)),IF(AND(C39="",D39=""),"",IF(AND(D39="",C39&lt;&gt;""),IF(I39&gt;F39,I39-C39,F39-C39),B$28-B40-SUM(D$28:D39))))</f>
        <v/>
      </c>
      <c r="K40" t="str">
        <f t="shared" si="12"/>
        <v/>
      </c>
      <c r="L40" s="51" t="e">
        <f t="shared" ca="1" si="3"/>
        <v>#REF!</v>
      </c>
      <c r="M40" s="51" t="e">
        <f t="shared" ca="1" si="10"/>
        <v>#REF!</v>
      </c>
      <c r="N40" s="51">
        <f t="shared" ca="1" si="4"/>
        <v>0</v>
      </c>
      <c r="O40" s="62">
        <f t="shared" si="5"/>
        <v>11</v>
      </c>
      <c r="P40" s="62">
        <f t="shared" si="6"/>
        <v>0</v>
      </c>
      <c r="Q40" s="62">
        <f t="shared" si="7"/>
        <v>0</v>
      </c>
    </row>
    <row r="41" spans="1:17" x14ac:dyDescent="0.2">
      <c r="A41" s="53">
        <v>14</v>
      </c>
      <c r="B41" s="2" t="str">
        <f t="shared" si="9"/>
        <v/>
      </c>
      <c r="C41" s="2"/>
      <c r="E41" s="53" t="str">
        <f>IF(B41="","",IF(D40="",E40,B41+SUM(D$28:D40)))</f>
        <v/>
      </c>
      <c r="F41" s="51" t="str">
        <f t="shared" si="13"/>
        <v/>
      </c>
      <c r="G41" s="51" t="str">
        <f t="shared" si="0"/>
        <v/>
      </c>
      <c r="H41" s="51" t="str">
        <f t="shared" si="11"/>
        <v/>
      </c>
      <c r="I41" s="51" t="str">
        <f>IF(B41="",IF(B40="","",IF(D40="","",F40-D40)),IF(AND(C40="",D40=""),"",IF(AND(D40="",C40&lt;&gt;""),IF(I40&gt;F40,I40-C40,F40-C40),B$28-B41-SUM(D$28:D40))))</f>
        <v/>
      </c>
      <c r="K41" t="str">
        <f t="shared" si="12"/>
        <v/>
      </c>
      <c r="L41" s="51" t="e">
        <f t="shared" ca="1" si="3"/>
        <v>#REF!</v>
      </c>
      <c r="M41" s="51" t="e">
        <f t="shared" ca="1" si="10"/>
        <v>#REF!</v>
      </c>
      <c r="N41" s="51">
        <f t="shared" ca="1" si="4"/>
        <v>0</v>
      </c>
      <c r="O41" s="62">
        <f t="shared" si="5"/>
        <v>11</v>
      </c>
      <c r="P41" s="62">
        <f t="shared" si="6"/>
        <v>0</v>
      </c>
      <c r="Q41" s="62">
        <f t="shared" si="7"/>
        <v>0</v>
      </c>
    </row>
    <row r="42" spans="1:17" x14ac:dyDescent="0.2">
      <c r="A42" s="53">
        <v>15</v>
      </c>
      <c r="B42" s="2" t="str">
        <f t="shared" si="9"/>
        <v/>
      </c>
      <c r="C42" s="2"/>
      <c r="E42" s="53" t="str">
        <f>IF(B42="","",IF(D41="",E41,B42+SUM(D$28:D41)))</f>
        <v/>
      </c>
      <c r="F42" s="51" t="str">
        <f t="shared" si="13"/>
        <v/>
      </c>
      <c r="G42" s="51" t="str">
        <f t="shared" si="0"/>
        <v/>
      </c>
      <c r="H42" s="51" t="str">
        <f t="shared" si="11"/>
        <v/>
      </c>
      <c r="I42" s="51" t="str">
        <f>IF(B42="",IF(B41="","",IF(D41="","",F41-D41)),IF(AND(C41="",D41=""),"",IF(AND(D41="",C41&lt;&gt;""),IF(I41&gt;F41,I41-C41,F41-C41),B$28-B42-SUM(D$28:D41))))</f>
        <v/>
      </c>
      <c r="K42" t="str">
        <f t="shared" si="12"/>
        <v/>
      </c>
      <c r="L42" s="51" t="e">
        <f t="shared" ca="1" si="3"/>
        <v>#REF!</v>
      </c>
      <c r="M42" s="51" t="e">
        <f t="shared" ca="1" si="10"/>
        <v>#REF!</v>
      </c>
      <c r="N42" s="51">
        <f t="shared" ca="1" si="4"/>
        <v>0</v>
      </c>
      <c r="O42" s="62">
        <f t="shared" si="5"/>
        <v>11</v>
      </c>
      <c r="P42" s="62">
        <f t="shared" si="6"/>
        <v>0</v>
      </c>
      <c r="Q42" s="62">
        <f t="shared" si="7"/>
        <v>0</v>
      </c>
    </row>
    <row r="43" spans="1:17" x14ac:dyDescent="0.2">
      <c r="A43" s="53">
        <v>16</v>
      </c>
      <c r="B43" s="2" t="str">
        <f t="shared" si="9"/>
        <v/>
      </c>
      <c r="C43" s="2"/>
      <c r="E43" s="53" t="str">
        <f>IF(B43="","",IF(D42="",E42,B43+SUM(D$28:D42)))</f>
        <v/>
      </c>
      <c r="F43" s="51" t="str">
        <f t="shared" si="13"/>
        <v/>
      </c>
      <c r="G43" s="51" t="str">
        <f t="shared" si="0"/>
        <v/>
      </c>
      <c r="H43" s="51" t="str">
        <f t="shared" si="11"/>
        <v/>
      </c>
      <c r="I43" s="51" t="str">
        <f>IF(B43="",IF(B42="","",IF(D42="","",F42-D42)),IF(AND(C42="",D42=""),"",IF(AND(D42="",C42&lt;&gt;""),IF(I42&gt;F42,I42-C42,F42-C42),B$28-B43-SUM(D$28:D42))))</f>
        <v/>
      </c>
      <c r="K43" t="str">
        <f t="shared" si="12"/>
        <v/>
      </c>
      <c r="L43" s="51" t="e">
        <f t="shared" ca="1" si="3"/>
        <v>#REF!</v>
      </c>
      <c r="M43" s="51" t="e">
        <f t="shared" ca="1" si="10"/>
        <v>#REF!</v>
      </c>
      <c r="N43" s="51">
        <f t="shared" ca="1" si="4"/>
        <v>0</v>
      </c>
      <c r="O43" s="62">
        <f t="shared" si="5"/>
        <v>11</v>
      </c>
      <c r="P43" s="62">
        <f t="shared" si="6"/>
        <v>0</v>
      </c>
      <c r="Q43" s="62">
        <f t="shared" si="7"/>
        <v>0</v>
      </c>
    </row>
    <row r="44" spans="1:17" x14ac:dyDescent="0.2">
      <c r="A44" s="53">
        <v>17</v>
      </c>
      <c r="B44" s="2" t="str">
        <f t="shared" si="9"/>
        <v/>
      </c>
      <c r="C44" s="2"/>
      <c r="E44" s="53" t="str">
        <f>IF(B44="","",IF(D43="",E43,B44+SUM(D$28:D43)))</f>
        <v/>
      </c>
      <c r="F44" s="51" t="str">
        <f t="shared" si="13"/>
        <v/>
      </c>
      <c r="G44" s="51" t="str">
        <f t="shared" si="0"/>
        <v/>
      </c>
      <c r="H44" s="51" t="str">
        <f t="shared" si="11"/>
        <v/>
      </c>
      <c r="I44" s="51" t="str">
        <f>IF(B44="",IF(B43="","",IF(D43="","",F43-D43)),IF(AND(C43="",D43=""),"",IF(AND(D43="",C43&lt;&gt;""),IF(I43&gt;F43,I43-C43,F43-C43),B$28-B44-SUM(D$28:D43))))</f>
        <v/>
      </c>
      <c r="K44" t="str">
        <f t="shared" si="12"/>
        <v/>
      </c>
      <c r="L44" s="51" t="e">
        <f t="shared" ca="1" si="3"/>
        <v>#REF!</v>
      </c>
      <c r="M44" s="51" t="e">
        <f t="shared" ca="1" si="10"/>
        <v>#REF!</v>
      </c>
      <c r="N44" s="51">
        <f t="shared" ca="1" si="4"/>
        <v>0</v>
      </c>
      <c r="O44" s="62">
        <f t="shared" si="5"/>
        <v>11</v>
      </c>
      <c r="P44" s="62">
        <f t="shared" si="6"/>
        <v>0</v>
      </c>
      <c r="Q44" s="62">
        <f t="shared" si="7"/>
        <v>0</v>
      </c>
    </row>
    <row r="45" spans="1:17" x14ac:dyDescent="0.2">
      <c r="A45" s="53">
        <v>18</v>
      </c>
      <c r="B45" s="2" t="str">
        <f t="shared" si="9"/>
        <v/>
      </c>
      <c r="C45" s="2"/>
      <c r="E45" s="53" t="str">
        <f>IF(B45="","",IF(D44="",E44,B45+SUM(D$28:D44)))</f>
        <v/>
      </c>
      <c r="F45" s="51" t="str">
        <f t="shared" si="13"/>
        <v/>
      </c>
      <c r="G45" s="51" t="str">
        <f t="shared" si="0"/>
        <v/>
      </c>
      <c r="H45" s="51" t="str">
        <f t="shared" si="11"/>
        <v/>
      </c>
      <c r="I45" s="51" t="str">
        <f>IF(B45="",IF(B44="","",IF(D44="","",F44-D44)),IF(AND(C44="",D44=""),"",IF(AND(D44="",C44&lt;&gt;""),IF(I44&gt;F44,I44-C44,F44-C44),B$28-B45-SUM(D$28:D44))))</f>
        <v/>
      </c>
      <c r="K45" t="str">
        <f t="shared" si="12"/>
        <v/>
      </c>
      <c r="L45" s="51" t="e">
        <f t="shared" ca="1" si="3"/>
        <v>#REF!</v>
      </c>
      <c r="M45" s="51" t="e">
        <f t="shared" ca="1" si="10"/>
        <v>#REF!</v>
      </c>
      <c r="N45" s="51">
        <f t="shared" ca="1" si="4"/>
        <v>0</v>
      </c>
      <c r="O45" s="62">
        <f t="shared" si="5"/>
        <v>11</v>
      </c>
      <c r="P45" s="62">
        <f t="shared" si="6"/>
        <v>0</v>
      </c>
      <c r="Q45" s="62">
        <f t="shared" si="7"/>
        <v>0</v>
      </c>
    </row>
    <row r="46" spans="1:17" x14ac:dyDescent="0.2">
      <c r="A46" s="53">
        <v>19</v>
      </c>
      <c r="B46" s="2" t="str">
        <f t="shared" si="9"/>
        <v/>
      </c>
      <c r="C46" s="2"/>
      <c r="E46" s="53" t="str">
        <f>IF(B46="","",IF(D45="",E45,B46+SUM(D$28:D45)))</f>
        <v/>
      </c>
      <c r="F46" s="51" t="str">
        <f t="shared" si="13"/>
        <v/>
      </c>
      <c r="G46" s="51" t="str">
        <f t="shared" si="0"/>
        <v/>
      </c>
      <c r="H46" s="51" t="str">
        <f t="shared" si="11"/>
        <v/>
      </c>
      <c r="I46" s="51" t="str">
        <f>IF(B46="",IF(B45="","",IF(D45="","",F45-D45)),IF(AND(C45="",D45=""),"",IF(AND(D45="",C45&lt;&gt;""),IF(I45&gt;F45,I45-C45,F45-C45),B$28-B46-SUM(D$28:D45))))</f>
        <v/>
      </c>
      <c r="K46" t="str">
        <f t="shared" si="12"/>
        <v/>
      </c>
      <c r="L46" s="51" t="e">
        <f t="shared" ca="1" si="3"/>
        <v>#REF!</v>
      </c>
      <c r="M46" s="51" t="e">
        <f t="shared" ca="1" si="10"/>
        <v>#REF!</v>
      </c>
      <c r="N46" s="51">
        <f t="shared" ca="1" si="4"/>
        <v>0</v>
      </c>
      <c r="O46" s="62">
        <f t="shared" si="5"/>
        <v>11</v>
      </c>
      <c r="P46" s="62">
        <f t="shared" si="6"/>
        <v>0</v>
      </c>
      <c r="Q46" s="62">
        <f t="shared" si="7"/>
        <v>0</v>
      </c>
    </row>
    <row r="47" spans="1:17" x14ac:dyDescent="0.2">
      <c r="A47" s="53">
        <v>20</v>
      </c>
      <c r="B47" s="2" t="str">
        <f t="shared" si="9"/>
        <v/>
      </c>
      <c r="C47" s="2"/>
      <c r="E47" s="53" t="str">
        <f>IF(B47="","",IF(D46="",E46,B47+SUM(D$28:D46)))</f>
        <v/>
      </c>
      <c r="F47" s="51" t="str">
        <f t="shared" si="13"/>
        <v/>
      </c>
      <c r="G47" s="51" t="str">
        <f t="shared" si="0"/>
        <v/>
      </c>
      <c r="H47" s="51" t="str">
        <f t="shared" si="11"/>
        <v/>
      </c>
      <c r="I47" s="51" t="str">
        <f>IF(B47="",IF(B46="","",IF(D46="","",F46-D46)),IF(AND(C46="",D46=""),"",IF(AND(D46="",C46&lt;&gt;""),IF(I46&gt;F46,I46-C46,F46-C46),B$28-B47-SUM(D$28:D46))))</f>
        <v/>
      </c>
      <c r="K47" t="str">
        <f t="shared" si="12"/>
        <v/>
      </c>
      <c r="L47" s="51" t="e">
        <f t="shared" ca="1" si="3"/>
        <v>#REF!</v>
      </c>
      <c r="M47" s="51" t="e">
        <f t="shared" ca="1" si="10"/>
        <v>#REF!</v>
      </c>
      <c r="N47" s="51">
        <f t="shared" ca="1" si="4"/>
        <v>0</v>
      </c>
      <c r="O47" s="62">
        <f t="shared" si="5"/>
        <v>11</v>
      </c>
      <c r="P47" s="62">
        <f t="shared" si="6"/>
        <v>0</v>
      </c>
      <c r="Q47" s="62">
        <f t="shared" si="7"/>
        <v>0</v>
      </c>
    </row>
    <row r="48" spans="1:17" x14ac:dyDescent="0.2">
      <c r="A48" s="53">
        <v>21</v>
      </c>
      <c r="B48" s="2" t="str">
        <f t="shared" si="9"/>
        <v/>
      </c>
      <c r="C48" s="2"/>
      <c r="E48" s="53" t="str">
        <f>IF(B48="","",IF(D47="",E47,B48+SUM(D$28:D47)))</f>
        <v/>
      </c>
      <c r="F48" s="51" t="str">
        <f t="shared" si="13"/>
        <v/>
      </c>
      <c r="G48" s="51" t="str">
        <f t="shared" si="0"/>
        <v/>
      </c>
      <c r="H48" s="51" t="str">
        <f t="shared" si="11"/>
        <v/>
      </c>
      <c r="I48" s="51" t="str">
        <f>IF(B48="",IF(B47="","",IF(D47="","",F47-D47)),IF(AND(C47="",D47=""),"",IF(AND(D47="",C47&lt;&gt;""),IF(I47&gt;F47,I47-C47,F47-C47),B$28-B48-SUM(D$28:D47))))</f>
        <v/>
      </c>
      <c r="K48" t="str">
        <f t="shared" si="12"/>
        <v/>
      </c>
      <c r="L48" s="51" t="e">
        <f t="shared" ca="1" si="3"/>
        <v>#REF!</v>
      </c>
      <c r="M48" s="51" t="e">
        <f t="shared" ca="1" si="10"/>
        <v>#REF!</v>
      </c>
      <c r="N48" s="51">
        <f t="shared" ca="1" si="4"/>
        <v>0</v>
      </c>
      <c r="O48" s="62">
        <f t="shared" si="5"/>
        <v>11</v>
      </c>
      <c r="P48" s="62">
        <f t="shared" si="6"/>
        <v>0</v>
      </c>
      <c r="Q48" s="62">
        <f t="shared" si="7"/>
        <v>0</v>
      </c>
    </row>
    <row r="49" spans="1:17" x14ac:dyDescent="0.2">
      <c r="A49" s="53">
        <v>22</v>
      </c>
      <c r="B49" s="2" t="str">
        <f t="shared" si="9"/>
        <v/>
      </c>
      <c r="C49" s="2"/>
      <c r="E49" s="53" t="str">
        <f>IF(B49="","",IF(D48="",E48,B49+SUM(D$28:D48)))</f>
        <v/>
      </c>
      <c r="F49" s="51" t="str">
        <f t="shared" si="13"/>
        <v/>
      </c>
      <c r="G49" s="51" t="str">
        <f t="shared" si="0"/>
        <v/>
      </c>
      <c r="H49" s="51" t="str">
        <f t="shared" si="11"/>
        <v/>
      </c>
      <c r="I49" s="51" t="str">
        <f>IF(B49="",IF(B48="","",IF(D48="","",F48-D48)),IF(AND(C48="",D48=""),"",IF(AND(D48="",C48&lt;&gt;""),IF(I48&gt;F48,I48-C48,F48-C48),B$28-B49-SUM(D$28:D48))))</f>
        <v/>
      </c>
      <c r="K49" t="str">
        <f t="shared" si="12"/>
        <v/>
      </c>
      <c r="L49" s="51" t="e">
        <f t="shared" ca="1" si="3"/>
        <v>#REF!</v>
      </c>
      <c r="M49" s="51" t="e">
        <f t="shared" ca="1" si="10"/>
        <v>#REF!</v>
      </c>
      <c r="N49" s="51">
        <f t="shared" ca="1" si="4"/>
        <v>0</v>
      </c>
      <c r="O49" s="62">
        <f t="shared" si="5"/>
        <v>11</v>
      </c>
      <c r="P49" s="62">
        <f t="shared" si="6"/>
        <v>0</v>
      </c>
      <c r="Q49" s="62">
        <f t="shared" si="7"/>
        <v>0</v>
      </c>
    </row>
    <row r="50" spans="1:17" x14ac:dyDescent="0.2">
      <c r="A50" s="53">
        <v>23</v>
      </c>
      <c r="B50" s="2" t="str">
        <f t="shared" si="9"/>
        <v/>
      </c>
      <c r="C50" s="2"/>
      <c r="E50" s="53" t="str">
        <f>IF(B50="","",IF(D49="",E49,B50+SUM(D$28:D49)))</f>
        <v/>
      </c>
      <c r="F50" s="51" t="str">
        <f t="shared" si="13"/>
        <v/>
      </c>
      <c r="G50" s="51" t="str">
        <f t="shared" si="0"/>
        <v/>
      </c>
      <c r="H50" s="51" t="str">
        <f t="shared" si="11"/>
        <v/>
      </c>
      <c r="I50" s="51" t="str">
        <f>IF(B50="",IF(B49="","",IF(D49="","",F49-D49)),IF(AND(C49="",D49=""),"",IF(AND(D49="",C49&lt;&gt;""),IF(I49&gt;F49,I49-C49,F49-C49),B$28-B50-SUM(D$28:D49))))</f>
        <v/>
      </c>
      <c r="K50" t="str">
        <f t="shared" si="12"/>
        <v/>
      </c>
      <c r="L50" s="51" t="e">
        <f t="shared" ca="1" si="3"/>
        <v>#REF!</v>
      </c>
      <c r="M50" s="51" t="e">
        <f t="shared" ca="1" si="10"/>
        <v>#REF!</v>
      </c>
      <c r="N50" s="51">
        <f t="shared" ca="1" si="4"/>
        <v>0</v>
      </c>
      <c r="O50" s="62">
        <f t="shared" si="5"/>
        <v>11</v>
      </c>
      <c r="P50" s="62">
        <f t="shared" si="6"/>
        <v>0</v>
      </c>
      <c r="Q50" s="62">
        <f t="shared" si="7"/>
        <v>0</v>
      </c>
    </row>
    <row r="51" spans="1:17" x14ac:dyDescent="0.2">
      <c r="A51" s="53">
        <v>24</v>
      </c>
      <c r="B51" s="2" t="str">
        <f t="shared" si="9"/>
        <v/>
      </c>
      <c r="C51" s="2"/>
      <c r="E51" s="53" t="str">
        <f>IF(B51="","",IF(D50="",E50,B51+SUM(D$28:D50)))</f>
        <v/>
      </c>
      <c r="F51" s="51" t="str">
        <f t="shared" si="13"/>
        <v/>
      </c>
      <c r="G51" s="51" t="str">
        <f t="shared" si="0"/>
        <v/>
      </c>
      <c r="H51" s="51" t="str">
        <f t="shared" si="11"/>
        <v/>
      </c>
      <c r="I51" s="51" t="str">
        <f>IF(B51="",IF(B50="","",IF(D50="","",F50-D50)),IF(AND(C50="",D50=""),"",IF(AND(D50="",C50&lt;&gt;""),IF(I50&gt;F50,I50-C50,F50-C50),B$28-B51-SUM(D$28:D50))))</f>
        <v/>
      </c>
      <c r="K51" t="str">
        <f t="shared" si="12"/>
        <v/>
      </c>
      <c r="L51" s="51" t="e">
        <f t="shared" ca="1" si="3"/>
        <v>#REF!</v>
      </c>
      <c r="M51" s="51" t="e">
        <f t="shared" ca="1" si="10"/>
        <v>#REF!</v>
      </c>
      <c r="N51" s="51">
        <f t="shared" ca="1" si="4"/>
        <v>0</v>
      </c>
      <c r="O51" s="62">
        <f t="shared" si="5"/>
        <v>11</v>
      </c>
      <c r="P51" s="62">
        <f t="shared" si="6"/>
        <v>0</v>
      </c>
      <c r="Q51" s="62">
        <f t="shared" si="7"/>
        <v>0</v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6" priority="1" stopIfTrue="1">
      <formula>$D26="Done"</formula>
    </cfRule>
    <cfRule type="expression" dxfId="5" priority="2" stopIfTrue="1">
      <formula>$D26="Ongoing"</formula>
    </cfRule>
    <cfRule type="expression" dxfId="4" priority="3" stopIfTrue="1">
      <formula>$D26="Removed"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0" tint="-0.499984740745262"/>
  </sheetPr>
  <dimension ref="A1:AD64"/>
  <sheetViews>
    <sheetView workbookViewId="0">
      <pane ySplit="14" topLeftCell="A15" activePane="bottomLeft" state="frozen"/>
      <selection activeCell="E25" sqref="E25"/>
      <selection pane="bottomLeft" activeCell="A15" sqref="A15"/>
    </sheetView>
  </sheetViews>
  <sheetFormatPr baseColWidth="10" defaultColWidth="11.425781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</cols>
  <sheetData>
    <row r="1" spans="1:30" ht="18" x14ac:dyDescent="0.25">
      <c r="A1" s="30">
        <v>1</v>
      </c>
      <c r="B1" s="35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12</v>
      </c>
      <c r="B9" s="34">
        <v>15</v>
      </c>
      <c r="C9" s="18"/>
      <c r="D9" s="16"/>
      <c r="E9" s="20" t="s">
        <v>9</v>
      </c>
      <c r="F9" s="20" t="s">
        <v>11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28</v>
      </c>
      <c r="B10" s="34">
        <v>3</v>
      </c>
      <c r="C10" s="18" t="s">
        <v>29</v>
      </c>
      <c r="D10" s="18" t="s">
        <v>17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22</v>
      </c>
      <c r="B11" s="2">
        <f>IF(COUNTA(A15:A242)=0,1,COUNTA(A15:A242))</f>
        <v>1</v>
      </c>
      <c r="C11" t="s">
        <v>23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>
        <f t="shared" ca="1" si="1"/>
        <v>0</v>
      </c>
      <c r="L11" s="2">
        <f t="shared" ca="1" si="1"/>
        <v>0</v>
      </c>
      <c r="M11" s="2">
        <f t="shared" ca="1" si="1"/>
        <v>0</v>
      </c>
      <c r="N11" s="2">
        <f t="shared" ca="1" si="1"/>
        <v>0</v>
      </c>
      <c r="O11" s="2">
        <f t="shared" ca="1" si="1"/>
        <v>0</v>
      </c>
      <c r="P11" s="2">
        <f t="shared" ca="1" si="1"/>
        <v>0</v>
      </c>
      <c r="Q11" s="2">
        <f t="shared" ca="1" si="1"/>
        <v>0</v>
      </c>
      <c r="R11" s="2">
        <f t="shared" ca="1" si="1"/>
        <v>0</v>
      </c>
      <c r="S11" s="2">
        <f t="shared" ca="1" si="1"/>
        <v>0</v>
      </c>
      <c r="T11" s="2">
        <f t="shared" ca="1" si="1"/>
        <v>0</v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2" t="s">
        <v>26</v>
      </c>
      <c r="B12"/>
      <c r="C12" t="s">
        <v>24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2" t="s">
        <v>27</v>
      </c>
      <c r="B13"/>
      <c r="C13" t="s">
        <v>25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7</v>
      </c>
      <c r="B14" s="19" t="s">
        <v>21</v>
      </c>
      <c r="C14" s="18" t="s">
        <v>8</v>
      </c>
      <c r="D14" s="18" t="s">
        <v>3</v>
      </c>
      <c r="E14" s="19" t="s">
        <v>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>
        <f t="shared" si="3"/>
        <v>8</v>
      </c>
      <c r="N14" s="19">
        <f t="shared" si="3"/>
        <v>9</v>
      </c>
      <c r="O14" s="19">
        <f t="shared" si="3"/>
        <v>10</v>
      </c>
      <c r="P14" s="19">
        <f t="shared" si="3"/>
        <v>11</v>
      </c>
      <c r="Q14" s="19">
        <f t="shared" si="3"/>
        <v>12</v>
      </c>
      <c r="R14" s="19">
        <f t="shared" si="3"/>
        <v>13</v>
      </c>
      <c r="S14" s="19">
        <f t="shared" si="3"/>
        <v>14</v>
      </c>
      <c r="T14" s="19">
        <f t="shared" si="3"/>
        <v>15</v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phoneticPr fontId="2" type="noConversion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9" r:id="rId4" name="Button 13">
              <controlPr defaultSize="0" print="0" autoFill="0" autoPict="0" macro="[0]!SortSprintTasks">
                <anchor moveWithCells="1" sizeWithCells="1">
                  <from>
                    <xdr:col>0</xdr:col>
                    <xdr:colOff>238125</xdr:colOff>
                    <xdr:row>5</xdr:row>
                    <xdr:rowOff>85725</xdr:rowOff>
                  </from>
                  <to>
                    <xdr:col>0</xdr:col>
                    <xdr:colOff>1724025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5" name="Button 14">
              <controlPr defaultSize="0" print="0" autoFill="0" autoPict="0" macro="[0]!UpdateTaskSlips">
                <anchor moveWithCells="1" sizeWithCells="1">
                  <from>
                    <xdr:col>0</xdr:col>
                    <xdr:colOff>2000250</xdr:colOff>
                    <xdr:row>5</xdr:row>
                    <xdr:rowOff>85725</xdr:rowOff>
                  </from>
                  <to>
                    <xdr:col>2</xdr:col>
                    <xdr:colOff>219075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F78"/>
  <sheetViews>
    <sheetView workbookViewId="0"/>
  </sheetViews>
  <sheetFormatPr baseColWidth="10" defaultColWidth="11.42578125" defaultRowHeight="12.75" x14ac:dyDescent="0.2"/>
  <cols>
    <col min="1" max="1" width="11.42578125" style="33"/>
    <col min="2" max="2" width="9.140625" style="33" customWidth="1"/>
    <col min="3" max="3" width="11.42578125" style="33"/>
    <col min="4" max="4" width="32.7109375" style="33" customWidth="1"/>
    <col min="5" max="5" width="11.42578125" style="33"/>
    <col min="6" max="6" width="32.7109375" style="33" customWidth="1"/>
    <col min="7" max="16384" width="11.42578125" style="33"/>
  </cols>
  <sheetData>
    <row r="1" spans="1:6" x14ac:dyDescent="0.2">
      <c r="A1" s="77" t="s">
        <v>83</v>
      </c>
      <c r="B1" s="93">
        <v>1</v>
      </c>
      <c r="C1" s="78" t="s">
        <v>84</v>
      </c>
      <c r="D1" s="79" t="s">
        <v>89</v>
      </c>
      <c r="E1" s="79"/>
      <c r="F1" s="80"/>
    </row>
    <row r="2" spans="1:6" x14ac:dyDescent="0.2">
      <c r="A2" s="81" t="s">
        <v>85</v>
      </c>
      <c r="B2" s="74" t="s">
        <v>129</v>
      </c>
      <c r="C2" s="74"/>
      <c r="D2" s="74"/>
      <c r="E2" s="74"/>
      <c r="F2" s="82"/>
    </row>
    <row r="3" spans="1:6" x14ac:dyDescent="0.2">
      <c r="A3" s="83"/>
      <c r="B3" s="75"/>
      <c r="C3" s="75"/>
      <c r="D3" s="75"/>
      <c r="E3" s="75"/>
      <c r="F3" s="84"/>
    </row>
    <row r="4" spans="1:6" x14ac:dyDescent="0.2">
      <c r="A4" s="85"/>
      <c r="B4" s="76"/>
      <c r="C4" s="76"/>
      <c r="D4" s="76"/>
      <c r="E4" s="76"/>
      <c r="F4" s="86"/>
    </row>
    <row r="5" spans="1:6" x14ac:dyDescent="0.2">
      <c r="A5" s="91" t="str">
        <f>CONCATENATE("Responsible Person: ",'Sp2'!C15)</f>
        <v>Responsible Person: Belu</v>
      </c>
      <c r="B5" s="73"/>
      <c r="C5" s="73"/>
      <c r="D5" s="73"/>
      <c r="E5" s="73"/>
      <c r="F5" s="92"/>
    </row>
    <row r="6" spans="1:6" ht="26.25" thickBot="1" x14ac:dyDescent="0.25">
      <c r="A6" s="87" t="s">
        <v>82</v>
      </c>
      <c r="B6" s="94">
        <v>2</v>
      </c>
      <c r="C6" s="89" t="s">
        <v>87</v>
      </c>
      <c r="D6" s="88"/>
      <c r="E6" s="89" t="s">
        <v>86</v>
      </c>
      <c r="F6" s="90"/>
    </row>
    <row r="8" spans="1:6" ht="13.5" thickBot="1" x14ac:dyDescent="0.25"/>
    <row r="9" spans="1:6" x14ac:dyDescent="0.2">
      <c r="A9" s="77" t="s">
        <v>83</v>
      </c>
      <c r="B9" s="93">
        <v>1</v>
      </c>
      <c r="C9" s="78" t="s">
        <v>84</v>
      </c>
      <c r="D9" s="79" t="s">
        <v>89</v>
      </c>
      <c r="E9" s="79"/>
      <c r="F9" s="80"/>
    </row>
    <row r="10" spans="1:6" x14ac:dyDescent="0.2">
      <c r="A10" s="81" t="s">
        <v>85</v>
      </c>
      <c r="B10" s="74" t="s">
        <v>130</v>
      </c>
      <c r="C10" s="74"/>
      <c r="D10" s="74"/>
      <c r="E10" s="74"/>
      <c r="F10" s="82"/>
    </row>
    <row r="11" spans="1:6" x14ac:dyDescent="0.2">
      <c r="A11" s="83"/>
      <c r="B11" s="75"/>
      <c r="C11" s="75"/>
      <c r="D11" s="75"/>
      <c r="E11" s="75"/>
      <c r="F11" s="84"/>
    </row>
    <row r="12" spans="1:6" x14ac:dyDescent="0.2">
      <c r="A12" s="85"/>
      <c r="B12" s="76"/>
      <c r="C12" s="76"/>
      <c r="D12" s="76"/>
      <c r="E12" s="76"/>
      <c r="F12" s="86"/>
    </row>
    <row r="13" spans="1:6" x14ac:dyDescent="0.2">
      <c r="A13" s="91" t="str">
        <f>CONCATENATE("Responsible Person: ",'Sp2'!C16)</f>
        <v>Responsible Person: Belu</v>
      </c>
      <c r="B13" s="73"/>
      <c r="C13" s="73"/>
      <c r="D13" s="73"/>
      <c r="E13" s="73"/>
      <c r="F13" s="92"/>
    </row>
    <row r="14" spans="1:6" ht="26.25" thickBot="1" x14ac:dyDescent="0.25">
      <c r="A14" s="87" t="s">
        <v>82</v>
      </c>
      <c r="B14" s="94">
        <v>3</v>
      </c>
      <c r="C14" s="89" t="s">
        <v>87</v>
      </c>
      <c r="D14" s="88"/>
      <c r="E14" s="89" t="s">
        <v>86</v>
      </c>
      <c r="F14" s="90"/>
    </row>
    <row r="16" spans="1:6" ht="13.5" thickBot="1" x14ac:dyDescent="0.25"/>
    <row r="17" spans="1:6" x14ac:dyDescent="0.2">
      <c r="A17" s="77" t="s">
        <v>83</v>
      </c>
      <c r="B17" s="93">
        <v>1</v>
      </c>
      <c r="C17" s="78" t="s">
        <v>84</v>
      </c>
      <c r="D17" s="79" t="s">
        <v>89</v>
      </c>
      <c r="E17" s="79"/>
      <c r="F17" s="80"/>
    </row>
    <row r="18" spans="1:6" x14ac:dyDescent="0.2">
      <c r="A18" s="81" t="s">
        <v>85</v>
      </c>
      <c r="B18" s="74" t="s">
        <v>150</v>
      </c>
      <c r="C18" s="74"/>
      <c r="D18" s="74"/>
      <c r="E18" s="74"/>
      <c r="F18" s="82"/>
    </row>
    <row r="19" spans="1:6" x14ac:dyDescent="0.2">
      <c r="A19" s="83"/>
      <c r="B19" s="75"/>
      <c r="C19" s="75"/>
      <c r="D19" s="75"/>
      <c r="E19" s="75"/>
      <c r="F19" s="84"/>
    </row>
    <row r="20" spans="1:6" x14ac:dyDescent="0.2">
      <c r="A20" s="85"/>
      <c r="B20" s="76"/>
      <c r="C20" s="76"/>
      <c r="D20" s="76"/>
      <c r="E20" s="76"/>
      <c r="F20" s="86"/>
    </row>
    <row r="21" spans="1:6" x14ac:dyDescent="0.2">
      <c r="A21" s="91" t="str">
        <f>CONCATENATE("Responsible Person: ",'Sp2'!C17)</f>
        <v>Responsible Person: Agus</v>
      </c>
      <c r="B21" s="73"/>
      <c r="C21" s="73"/>
      <c r="D21" s="73"/>
      <c r="E21" s="73"/>
      <c r="F21" s="92"/>
    </row>
    <row r="22" spans="1:6" ht="26.25" thickBot="1" x14ac:dyDescent="0.25">
      <c r="A22" s="87" t="s">
        <v>82</v>
      </c>
      <c r="B22" s="94">
        <v>3</v>
      </c>
      <c r="C22" s="89" t="s">
        <v>87</v>
      </c>
      <c r="D22" s="88"/>
      <c r="E22" s="89" t="s">
        <v>86</v>
      </c>
      <c r="F22" s="90"/>
    </row>
    <row r="24" spans="1:6" ht="13.5" thickBot="1" x14ac:dyDescent="0.25"/>
    <row r="25" spans="1:6" x14ac:dyDescent="0.2">
      <c r="A25" s="77" t="s">
        <v>83</v>
      </c>
      <c r="B25" s="93">
        <v>3</v>
      </c>
      <c r="C25" s="78" t="s">
        <v>84</v>
      </c>
      <c r="D25" s="79" t="s">
        <v>96</v>
      </c>
      <c r="E25" s="79"/>
      <c r="F25" s="80"/>
    </row>
    <row r="26" spans="1:6" x14ac:dyDescent="0.2">
      <c r="A26" s="81" t="s">
        <v>85</v>
      </c>
      <c r="B26" s="74" t="s">
        <v>133</v>
      </c>
      <c r="C26" s="74"/>
      <c r="D26" s="74"/>
      <c r="E26" s="74"/>
      <c r="F26" s="82"/>
    </row>
    <row r="27" spans="1:6" x14ac:dyDescent="0.2">
      <c r="A27" s="83"/>
      <c r="B27" s="75"/>
      <c r="C27" s="75"/>
      <c r="D27" s="75"/>
      <c r="E27" s="75"/>
      <c r="F27" s="84"/>
    </row>
    <row r="28" spans="1:6" x14ac:dyDescent="0.2">
      <c r="A28" s="85"/>
      <c r="B28" s="76"/>
      <c r="C28" s="76"/>
      <c r="D28" s="76"/>
      <c r="E28" s="76"/>
      <c r="F28" s="86"/>
    </row>
    <row r="29" spans="1:6" x14ac:dyDescent="0.2">
      <c r="A29" s="91" t="str">
        <f>CONCATENATE("Responsible Person: ",'Sp2'!C18)</f>
        <v>Responsible Person: Belu</v>
      </c>
      <c r="B29" s="73"/>
      <c r="C29" s="73"/>
      <c r="D29" s="73"/>
      <c r="E29" s="73"/>
      <c r="F29" s="92"/>
    </row>
    <row r="30" spans="1:6" ht="26.25" thickBot="1" x14ac:dyDescent="0.25">
      <c r="A30" s="87" t="s">
        <v>82</v>
      </c>
      <c r="B30" s="94">
        <v>1</v>
      </c>
      <c r="C30" s="89" t="s">
        <v>87</v>
      </c>
      <c r="D30" s="88"/>
      <c r="E30" s="89" t="s">
        <v>86</v>
      </c>
      <c r="F30" s="90"/>
    </row>
    <row r="32" spans="1:6" ht="13.5" thickBot="1" x14ac:dyDescent="0.25"/>
    <row r="33" spans="1:6" x14ac:dyDescent="0.2">
      <c r="A33" s="77" t="s">
        <v>83</v>
      </c>
      <c r="B33" s="93">
        <v>3</v>
      </c>
      <c r="C33" s="78" t="s">
        <v>84</v>
      </c>
      <c r="D33" s="79" t="s">
        <v>96</v>
      </c>
      <c r="E33" s="79"/>
      <c r="F33" s="80"/>
    </row>
    <row r="34" spans="1:6" x14ac:dyDescent="0.2">
      <c r="A34" s="81" t="s">
        <v>85</v>
      </c>
      <c r="B34" s="74" t="s">
        <v>134</v>
      </c>
      <c r="C34" s="74"/>
      <c r="D34" s="74"/>
      <c r="E34" s="74"/>
      <c r="F34" s="82"/>
    </row>
    <row r="35" spans="1:6" x14ac:dyDescent="0.2">
      <c r="A35" s="83"/>
      <c r="B35" s="75"/>
      <c r="C35" s="75"/>
      <c r="D35" s="75"/>
      <c r="E35" s="75"/>
      <c r="F35" s="84"/>
    </row>
    <row r="36" spans="1:6" x14ac:dyDescent="0.2">
      <c r="A36" s="85"/>
      <c r="B36" s="76"/>
      <c r="C36" s="76"/>
      <c r="D36" s="76"/>
      <c r="E36" s="76"/>
      <c r="F36" s="86"/>
    </row>
    <row r="37" spans="1:6" x14ac:dyDescent="0.2">
      <c r="A37" s="91" t="str">
        <f>CONCATENATE("Responsible Person: ",'Sp2'!C19)</f>
        <v>Responsible Person: Belu</v>
      </c>
      <c r="B37" s="73"/>
      <c r="C37" s="73"/>
      <c r="D37" s="73"/>
      <c r="E37" s="73"/>
      <c r="F37" s="92"/>
    </row>
    <row r="38" spans="1:6" ht="26.25" thickBot="1" x14ac:dyDescent="0.25">
      <c r="A38" s="87" t="s">
        <v>82</v>
      </c>
      <c r="B38" s="94">
        <v>2</v>
      </c>
      <c r="C38" s="89" t="s">
        <v>87</v>
      </c>
      <c r="D38" s="88"/>
      <c r="E38" s="89" t="s">
        <v>86</v>
      </c>
      <c r="F38" s="90"/>
    </row>
    <row r="40" spans="1:6" ht="13.5" thickBot="1" x14ac:dyDescent="0.25"/>
    <row r="41" spans="1:6" x14ac:dyDescent="0.2">
      <c r="A41" s="77" t="s">
        <v>83</v>
      </c>
      <c r="B41" s="93">
        <v>4</v>
      </c>
      <c r="C41" s="78" t="s">
        <v>84</v>
      </c>
      <c r="D41" s="79" t="s">
        <v>101</v>
      </c>
      <c r="E41" s="79"/>
      <c r="F41" s="80"/>
    </row>
    <row r="42" spans="1:6" x14ac:dyDescent="0.2">
      <c r="A42" s="81" t="s">
        <v>85</v>
      </c>
      <c r="B42" s="74" t="s">
        <v>132</v>
      </c>
      <c r="C42" s="74"/>
      <c r="D42" s="74"/>
      <c r="E42" s="74"/>
      <c r="F42" s="82"/>
    </row>
    <row r="43" spans="1:6" x14ac:dyDescent="0.2">
      <c r="A43" s="83"/>
      <c r="B43" s="75"/>
      <c r="C43" s="75"/>
      <c r="D43" s="75"/>
      <c r="E43" s="75"/>
      <c r="F43" s="84"/>
    </row>
    <row r="44" spans="1:6" x14ac:dyDescent="0.2">
      <c r="A44" s="85"/>
      <c r="B44" s="76"/>
      <c r="C44" s="76"/>
      <c r="D44" s="76"/>
      <c r="E44" s="76"/>
      <c r="F44" s="86"/>
    </row>
    <row r="45" spans="1:6" x14ac:dyDescent="0.2">
      <c r="A45" s="91" t="str">
        <f>CONCATENATE("Responsible Person: ",'Sp2'!C20)</f>
        <v>Responsible Person: Agus</v>
      </c>
      <c r="B45" s="73"/>
      <c r="C45" s="73"/>
      <c r="D45" s="73"/>
      <c r="E45" s="73"/>
      <c r="F45" s="92"/>
    </row>
    <row r="46" spans="1:6" ht="26.25" thickBot="1" x14ac:dyDescent="0.25">
      <c r="A46" s="87" t="s">
        <v>82</v>
      </c>
      <c r="B46" s="94">
        <v>3</v>
      </c>
      <c r="C46" s="89" t="s">
        <v>87</v>
      </c>
      <c r="D46" s="88"/>
      <c r="E46" s="89" t="s">
        <v>86</v>
      </c>
      <c r="F46" s="90"/>
    </row>
    <row r="48" spans="1:6" ht="13.5" thickBot="1" x14ac:dyDescent="0.25"/>
    <row r="49" spans="1:6" x14ac:dyDescent="0.2">
      <c r="A49" s="77" t="s">
        <v>83</v>
      </c>
      <c r="B49" s="93">
        <v>5</v>
      </c>
      <c r="C49" s="78" t="s">
        <v>84</v>
      </c>
      <c r="D49" s="79" t="s">
        <v>126</v>
      </c>
      <c r="E49" s="79"/>
      <c r="F49" s="80"/>
    </row>
    <row r="50" spans="1:6" x14ac:dyDescent="0.2">
      <c r="A50" s="81" t="s">
        <v>85</v>
      </c>
      <c r="B50" s="74" t="s">
        <v>131</v>
      </c>
      <c r="C50" s="74"/>
      <c r="D50" s="74"/>
      <c r="E50" s="74"/>
      <c r="F50" s="82"/>
    </row>
    <row r="51" spans="1:6" x14ac:dyDescent="0.2">
      <c r="A51" s="83"/>
      <c r="B51" s="75"/>
      <c r="C51" s="75"/>
      <c r="D51" s="75"/>
      <c r="E51" s="75"/>
      <c r="F51" s="84"/>
    </row>
    <row r="52" spans="1:6" x14ac:dyDescent="0.2">
      <c r="A52" s="85"/>
      <c r="B52" s="76"/>
      <c r="C52" s="76"/>
      <c r="D52" s="76"/>
      <c r="E52" s="76"/>
      <c r="F52" s="86"/>
    </row>
    <row r="53" spans="1:6" x14ac:dyDescent="0.2">
      <c r="A53" s="91" t="str">
        <f>CONCATENATE("Responsible Person: ",'Sp2'!C21)</f>
        <v>Responsible Person: Vale</v>
      </c>
      <c r="B53" s="73"/>
      <c r="C53" s="73"/>
      <c r="D53" s="73"/>
      <c r="E53" s="73"/>
      <c r="F53" s="92"/>
    </row>
    <row r="54" spans="1:6" ht="26.25" thickBot="1" x14ac:dyDescent="0.25">
      <c r="A54" s="87" t="s">
        <v>82</v>
      </c>
      <c r="B54" s="94">
        <v>5</v>
      </c>
      <c r="C54" s="89" t="s">
        <v>87</v>
      </c>
      <c r="D54" s="88"/>
      <c r="E54" s="89" t="s">
        <v>86</v>
      </c>
      <c r="F54" s="90"/>
    </row>
    <row r="56" spans="1:6" ht="13.5" thickBot="1" x14ac:dyDescent="0.25"/>
    <row r="57" spans="1:6" x14ac:dyDescent="0.2">
      <c r="A57" s="77" t="s">
        <v>83</v>
      </c>
      <c r="B57" s="93">
        <v>5</v>
      </c>
      <c r="C57" s="78" t="s">
        <v>84</v>
      </c>
      <c r="D57" s="79" t="s">
        <v>126</v>
      </c>
      <c r="E57" s="79"/>
      <c r="F57" s="80"/>
    </row>
    <row r="58" spans="1:6" x14ac:dyDescent="0.2">
      <c r="A58" s="81" t="s">
        <v>85</v>
      </c>
      <c r="B58" s="74" t="s">
        <v>135</v>
      </c>
      <c r="C58" s="74"/>
      <c r="D58" s="74"/>
      <c r="E58" s="74"/>
      <c r="F58" s="82"/>
    </row>
    <row r="59" spans="1:6" x14ac:dyDescent="0.2">
      <c r="A59" s="83"/>
      <c r="B59" s="75"/>
      <c r="C59" s="75"/>
      <c r="D59" s="75"/>
      <c r="E59" s="75"/>
      <c r="F59" s="84"/>
    </row>
    <row r="60" spans="1:6" x14ac:dyDescent="0.2">
      <c r="A60" s="85"/>
      <c r="B60" s="76"/>
      <c r="C60" s="76"/>
      <c r="D60" s="76"/>
      <c r="E60" s="76"/>
      <c r="F60" s="86"/>
    </row>
    <row r="61" spans="1:6" x14ac:dyDescent="0.2">
      <c r="A61" s="91" t="str">
        <f>CONCATENATE("Responsible Person: ",'Sp2'!C22)</f>
        <v>Responsible Person: Vale</v>
      </c>
      <c r="B61" s="73"/>
      <c r="C61" s="73"/>
      <c r="D61" s="73"/>
      <c r="E61" s="73"/>
      <c r="F61" s="92"/>
    </row>
    <row r="62" spans="1:6" ht="26.25" thickBot="1" x14ac:dyDescent="0.25">
      <c r="A62" s="87" t="s">
        <v>82</v>
      </c>
      <c r="B62" s="94">
        <v>1</v>
      </c>
      <c r="C62" s="89" t="s">
        <v>87</v>
      </c>
      <c r="D62" s="88"/>
      <c r="E62" s="89" t="s">
        <v>86</v>
      </c>
      <c r="F62" s="90"/>
    </row>
    <row r="64" spans="1:6" ht="13.5" thickBot="1" x14ac:dyDescent="0.25"/>
    <row r="65" spans="1:6" x14ac:dyDescent="0.2">
      <c r="A65" s="77" t="s">
        <v>83</v>
      </c>
      <c r="B65" s="93">
        <v>5</v>
      </c>
      <c r="C65" s="78" t="s">
        <v>84</v>
      </c>
      <c r="D65" s="79" t="s">
        <v>126</v>
      </c>
      <c r="E65" s="79"/>
      <c r="F65" s="80"/>
    </row>
    <row r="66" spans="1:6" x14ac:dyDescent="0.2">
      <c r="A66" s="81" t="s">
        <v>85</v>
      </c>
      <c r="B66" s="74" t="s">
        <v>136</v>
      </c>
      <c r="C66" s="74"/>
      <c r="D66" s="74"/>
      <c r="E66" s="74"/>
      <c r="F66" s="82"/>
    </row>
    <row r="67" spans="1:6" x14ac:dyDescent="0.2">
      <c r="A67" s="83"/>
      <c r="B67" s="75"/>
      <c r="C67" s="75"/>
      <c r="D67" s="75"/>
      <c r="E67" s="75"/>
      <c r="F67" s="84"/>
    </row>
    <row r="68" spans="1:6" x14ac:dyDescent="0.2">
      <c r="A68" s="85"/>
      <c r="B68" s="76"/>
      <c r="C68" s="76"/>
      <c r="D68" s="76"/>
      <c r="E68" s="76"/>
      <c r="F68" s="86"/>
    </row>
    <row r="69" spans="1:6" x14ac:dyDescent="0.2">
      <c r="A69" s="91" t="str">
        <f>CONCATENATE("Responsible Person: ",'Sp2'!C23)</f>
        <v>Responsible Person: Vale</v>
      </c>
      <c r="B69" s="73"/>
      <c r="C69" s="73"/>
      <c r="D69" s="73"/>
      <c r="E69" s="73"/>
      <c r="F69" s="92"/>
    </row>
    <row r="70" spans="1:6" ht="26.25" thickBot="1" x14ac:dyDescent="0.25">
      <c r="A70" s="87" t="s">
        <v>82</v>
      </c>
      <c r="B70" s="94">
        <v>4</v>
      </c>
      <c r="C70" s="89" t="s">
        <v>87</v>
      </c>
      <c r="D70" s="88"/>
      <c r="E70" s="89" t="s">
        <v>86</v>
      </c>
      <c r="F70" s="90"/>
    </row>
    <row r="72" spans="1:6" ht="13.5" thickBot="1" x14ac:dyDescent="0.25"/>
    <row r="73" spans="1:6" x14ac:dyDescent="0.2">
      <c r="A73" s="77" t="s">
        <v>83</v>
      </c>
      <c r="B73" s="93">
        <v>5</v>
      </c>
      <c r="C73" s="78" t="s">
        <v>84</v>
      </c>
      <c r="D73" s="79" t="s">
        <v>126</v>
      </c>
      <c r="E73" s="79"/>
      <c r="F73" s="80"/>
    </row>
    <row r="74" spans="1:6" x14ac:dyDescent="0.2">
      <c r="A74" s="81" t="s">
        <v>85</v>
      </c>
      <c r="B74" s="74" t="s">
        <v>137</v>
      </c>
      <c r="C74" s="74"/>
      <c r="D74" s="74"/>
      <c r="E74" s="74"/>
      <c r="F74" s="82"/>
    </row>
    <row r="75" spans="1:6" x14ac:dyDescent="0.2">
      <c r="A75" s="83"/>
      <c r="B75" s="75"/>
      <c r="C75" s="75"/>
      <c r="D75" s="75"/>
      <c r="E75" s="75"/>
      <c r="F75" s="84"/>
    </row>
    <row r="76" spans="1:6" x14ac:dyDescent="0.2">
      <c r="A76" s="85"/>
      <c r="B76" s="76"/>
      <c r="C76" s="76"/>
      <c r="D76" s="76"/>
      <c r="E76" s="76"/>
      <c r="F76" s="86"/>
    </row>
    <row r="77" spans="1:6" x14ac:dyDescent="0.2">
      <c r="A77" s="91" t="str">
        <f>CONCATENATE("Responsible Person: ",'Sp2'!C24)</f>
        <v>Responsible Person: Vale</v>
      </c>
      <c r="B77" s="73"/>
      <c r="C77" s="73"/>
      <c r="D77" s="73"/>
      <c r="E77" s="73"/>
      <c r="F77" s="92"/>
    </row>
    <row r="78" spans="1:6" ht="26.25" thickBot="1" x14ac:dyDescent="0.25">
      <c r="A78" s="87" t="s">
        <v>82</v>
      </c>
      <c r="B78" s="94"/>
      <c r="C78" s="89" t="s">
        <v>87</v>
      </c>
      <c r="D78" s="88"/>
      <c r="E78" s="89" t="s">
        <v>86</v>
      </c>
      <c r="F78" s="90"/>
    </row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5"/>
  <sheetViews>
    <sheetView workbookViewId="0">
      <selection activeCell="I21" sqref="I21"/>
    </sheetView>
  </sheetViews>
  <sheetFormatPr baseColWidth="10" defaultColWidth="11.42578125" defaultRowHeight="12.75" x14ac:dyDescent="0.2"/>
  <sheetData>
    <row r="1" spans="1:9" ht="21.75" customHeight="1" x14ac:dyDescent="0.2">
      <c r="A1" s="137" t="s">
        <v>122</v>
      </c>
      <c r="B1" s="137"/>
      <c r="C1" s="137"/>
      <c r="D1" s="137"/>
    </row>
    <row r="2" spans="1:9" x14ac:dyDescent="0.2">
      <c r="A2" s="135" t="s">
        <v>123</v>
      </c>
      <c r="B2" s="135"/>
      <c r="C2" s="135"/>
      <c r="D2" s="135"/>
    </row>
    <row r="3" spans="1:9" x14ac:dyDescent="0.2">
      <c r="A3" s="113"/>
      <c r="B3" s="3"/>
      <c r="C3" s="3"/>
      <c r="D3" s="3"/>
      <c r="E3" s="3"/>
    </row>
    <row r="4" spans="1:9" x14ac:dyDescent="0.2">
      <c r="A4" s="3"/>
      <c r="B4" s="3"/>
      <c r="C4" s="3"/>
      <c r="D4" s="3"/>
      <c r="E4" s="3"/>
    </row>
    <row r="5" spans="1:9" x14ac:dyDescent="0.2">
      <c r="A5" s="3"/>
      <c r="B5" s="3"/>
      <c r="C5" s="3"/>
      <c r="D5" s="3"/>
      <c r="E5" s="3"/>
    </row>
    <row r="6" spans="1:9" x14ac:dyDescent="0.2">
      <c r="A6" s="3"/>
      <c r="B6" s="3"/>
      <c r="C6" s="3"/>
      <c r="D6" s="3"/>
      <c r="E6" s="3"/>
      <c r="F6" s="135" t="s">
        <v>125</v>
      </c>
      <c r="G6" s="136"/>
      <c r="H6" s="136"/>
      <c r="I6" s="136"/>
    </row>
    <row r="7" spans="1:9" x14ac:dyDescent="0.2">
      <c r="A7" s="3"/>
      <c r="B7" s="3"/>
      <c r="C7" s="3"/>
      <c r="D7" s="3"/>
      <c r="E7" s="3"/>
    </row>
    <row r="8" spans="1:9" x14ac:dyDescent="0.2">
      <c r="A8" s="3"/>
      <c r="B8" s="3"/>
      <c r="C8" s="3"/>
      <c r="D8" s="3"/>
      <c r="E8" s="3"/>
    </row>
    <row r="9" spans="1:9" x14ac:dyDescent="0.2">
      <c r="A9" s="3"/>
      <c r="B9" s="3"/>
      <c r="C9" s="3"/>
      <c r="D9" s="3"/>
      <c r="E9" s="3"/>
    </row>
    <row r="10" spans="1:9" x14ac:dyDescent="0.2">
      <c r="A10" s="3"/>
      <c r="B10" s="3"/>
      <c r="C10" s="3"/>
      <c r="D10" s="3"/>
      <c r="E10" s="3"/>
    </row>
    <row r="11" spans="1:9" x14ac:dyDescent="0.2">
      <c r="A11" s="135" t="s">
        <v>124</v>
      </c>
      <c r="B11" s="135"/>
      <c r="C11" s="135"/>
      <c r="D11" s="135"/>
      <c r="E11" s="3"/>
    </row>
    <row r="12" spans="1:9" x14ac:dyDescent="0.2">
      <c r="A12" s="3"/>
      <c r="B12" s="3"/>
      <c r="C12" s="3"/>
      <c r="D12" s="3"/>
      <c r="E12" s="3"/>
    </row>
    <row r="13" spans="1:9" x14ac:dyDescent="0.2">
      <c r="A13" s="3"/>
      <c r="B13" s="3"/>
      <c r="C13" s="3"/>
      <c r="D13" s="3"/>
      <c r="E13" s="3"/>
    </row>
    <row r="14" spans="1:9" x14ac:dyDescent="0.2">
      <c r="A14" s="3"/>
      <c r="B14" s="3"/>
      <c r="C14" s="3"/>
      <c r="D14" s="3"/>
      <c r="E14" s="3"/>
    </row>
    <row r="15" spans="1:9" x14ac:dyDescent="0.2">
      <c r="A15" s="3"/>
      <c r="B15" s="3"/>
      <c r="C15" s="3"/>
      <c r="D15" s="3"/>
      <c r="E15" s="3"/>
    </row>
  </sheetData>
  <mergeCells count="4">
    <mergeCell ref="F6:I6"/>
    <mergeCell ref="A1:D1"/>
    <mergeCell ref="A2:D2"/>
    <mergeCell ref="A11:D1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41</vt:i4>
      </vt:variant>
    </vt:vector>
  </HeadingPairs>
  <TitlesOfParts>
    <vt:vector size="52" baseType="lpstr">
      <vt:lpstr>Product Backlog</vt:lpstr>
      <vt:lpstr>Release Plan1</vt:lpstr>
      <vt:lpstr>Release Plan 2</vt:lpstr>
      <vt:lpstr>Sp1</vt:lpstr>
      <vt:lpstr>Sp2</vt:lpstr>
      <vt:lpstr>Sp3</vt:lpstr>
      <vt:lpstr>Velocidad</vt:lpstr>
      <vt:lpstr>PB Burndown</vt:lpstr>
      <vt:lpstr>Sprint Sheet Template</vt:lpstr>
      <vt:lpstr>Task Slips</vt:lpstr>
      <vt:lpstr>RETROSPECTIVE</vt:lpstr>
      <vt:lpstr>'Product Backlog'!Área_de_impresión</vt:lpstr>
      <vt:lpstr>'Sp1'!DoneDays</vt:lpstr>
      <vt:lpstr>'Sp2'!DoneDays</vt:lpstr>
      <vt:lpstr>'Sp3'!DoneDays</vt:lpstr>
      <vt:lpstr>'Sprint Sheet Template'!DoneDays</vt:lpstr>
      <vt:lpstr>'Sp1'!ImplementationDays</vt:lpstr>
      <vt:lpstr>'Sp2'!ImplementationDays</vt:lpstr>
      <vt:lpstr>'Sp3'!ImplementationDays</vt:lpstr>
      <vt:lpstr>'Sprint Sheet Template'!ImplementationDays</vt:lpstr>
      <vt:lpstr>ProductBacklog</vt:lpstr>
      <vt:lpstr>Sprint</vt:lpstr>
      <vt:lpstr>SprintCount</vt:lpstr>
      <vt:lpstr>SprintsInTrend</vt:lpstr>
      <vt:lpstr>'Sp1'!SprintTasks</vt:lpstr>
      <vt:lpstr>'Sp2'!SprintTasks</vt:lpstr>
      <vt:lpstr>'Sp3'!SprintTasks</vt:lpstr>
      <vt:lpstr>SprintTasks</vt:lpstr>
      <vt:lpstr>Status</vt:lpstr>
      <vt:lpstr>StoryName</vt:lpstr>
      <vt:lpstr>'Sp1'!TaskRows</vt:lpstr>
      <vt:lpstr>'Sp2'!TaskRows</vt:lpstr>
      <vt:lpstr>'Sp3'!TaskRows</vt:lpstr>
      <vt:lpstr>'Sprint Sheet Template'!TaskRows</vt:lpstr>
      <vt:lpstr>'Sp1'!TaskStatus</vt:lpstr>
      <vt:lpstr>'Sp2'!TaskStatus</vt:lpstr>
      <vt:lpstr>'Sp3'!TaskStatus</vt:lpstr>
      <vt:lpstr>TaskStatus</vt:lpstr>
      <vt:lpstr>'Sp1'!TaskStoryID</vt:lpstr>
      <vt:lpstr>'Sp2'!TaskStoryID</vt:lpstr>
      <vt:lpstr>'Sp3'!TaskStoryID</vt:lpstr>
      <vt:lpstr>TaskStoryID</vt:lpstr>
      <vt:lpstr>'Sp1'!TotalEffort</vt:lpstr>
      <vt:lpstr>'Sp2'!TotalEffort</vt:lpstr>
      <vt:lpstr>'Sp3'!TotalEffort</vt:lpstr>
      <vt:lpstr>'Sprint Sheet Template'!TotalEffort</vt:lpstr>
      <vt:lpstr>'Sp1'!TrendDays</vt:lpstr>
      <vt:lpstr>'Sp2'!TrendDays</vt:lpstr>
      <vt:lpstr>'Sp3'!TrendDays</vt:lpstr>
      <vt:lpstr>TrendDays</vt:lpstr>
      <vt:lpstr>TrendOffset</vt:lpstr>
      <vt:lpstr>TrendSprintCount</vt:lpstr>
    </vt:vector>
  </TitlesOfParts>
  <Company>SysOpen Digia Plc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creator>&lt; Your name &gt;</dc:creator>
  <dc:description>Template versio 1.0 Approval</dc:description>
  <cp:lastModifiedBy>Vale</cp:lastModifiedBy>
  <cp:revision>1</cp:revision>
  <cp:lastPrinted>2006-09-01T14:59:00Z</cp:lastPrinted>
  <dcterms:created xsi:type="dcterms:W3CDTF">1998-06-05T11:20:44Z</dcterms:created>
  <dcterms:modified xsi:type="dcterms:W3CDTF">2015-06-23T01:23:02Z</dcterms:modified>
  <cp:category>SysOpen Digia Standard Template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